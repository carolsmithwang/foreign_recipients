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f1cb044a8faaf6c/Desktop/IRS data - direct lending funds/Foreign Recipients of U.S. Income/"/>
    </mc:Choice>
  </mc:AlternateContent>
  <xr:revisionPtr revIDLastSave="4" documentId="13_ncr:1_{F8F656BC-6D0A-4542-A71C-5FD9B72F51D5}" xr6:coauthVersionLast="47" xr6:coauthVersionMax="47" xr10:uidLastSave="{633226B0-CF70-497E-B3A5-58DBD6AC2C59}"/>
  <bookViews>
    <workbookView minimized="1" xWindow="-90" yWindow="100" windowWidth="13560" windowHeight="9580" xr2:uid="{00000000-000D-0000-FFFF-FFFF00000000}"/>
  </bookViews>
  <sheets>
    <sheet name="1042s_bulltab_2" sheetId="2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1" i="2" l="1"/>
  <c r="L10" i="2"/>
  <c r="L9" i="2"/>
</calcChain>
</file>

<file path=xl/sharedStrings.xml><?xml version="1.0" encoding="utf-8"?>
<sst xmlns="http://schemas.openxmlformats.org/spreadsheetml/2006/main" count="479" uniqueCount="126">
  <si>
    <t>Principal types of U.S.-source income</t>
  </si>
  <si>
    <t>U.S. tax</t>
  </si>
  <si>
    <t>Total U.S.-</t>
  </si>
  <si>
    <t>withheld [1]</t>
  </si>
  <si>
    <t>source income</t>
  </si>
  <si>
    <t>Argentina</t>
  </si>
  <si>
    <t xml:space="preserve">    Individuals</t>
  </si>
  <si>
    <t xml:space="preserve">    Corporations</t>
  </si>
  <si>
    <t>Australia</t>
  </si>
  <si>
    <t>Austria</t>
  </si>
  <si>
    <t>Bahamas</t>
  </si>
  <si>
    <t>Barbados</t>
  </si>
  <si>
    <t>Belgium</t>
  </si>
  <si>
    <t>Bermuda</t>
  </si>
  <si>
    <t>Brazil</t>
  </si>
  <si>
    <t>British Virgin Islands</t>
  </si>
  <si>
    <t>Canada</t>
  </si>
  <si>
    <t>Cayman Islands</t>
  </si>
  <si>
    <t>Chile</t>
  </si>
  <si>
    <t>China</t>
  </si>
  <si>
    <t>Colombia</t>
  </si>
  <si>
    <t>Denmark</t>
  </si>
  <si>
    <t>Finland</t>
  </si>
  <si>
    <t>France</t>
  </si>
  <si>
    <t>Germany</t>
  </si>
  <si>
    <t>Greece</t>
  </si>
  <si>
    <t>Guernsey</t>
  </si>
  <si>
    <t>Hong Kong</t>
  </si>
  <si>
    <t>India</t>
  </si>
  <si>
    <t>Ireland</t>
  </si>
  <si>
    <t>Israel</t>
  </si>
  <si>
    <t>Italy</t>
  </si>
  <si>
    <t>Japan</t>
  </si>
  <si>
    <t>Jersey</t>
  </si>
  <si>
    <t>Korea, Republic of (South)</t>
  </si>
  <si>
    <t>Kuwait</t>
  </si>
  <si>
    <t>Luxembourg</t>
  </si>
  <si>
    <t>Mexico</t>
  </si>
  <si>
    <t>Netherlands</t>
  </si>
  <si>
    <t>New Zealand</t>
  </si>
  <si>
    <t>Norway</t>
  </si>
  <si>
    <t>Panama</t>
  </si>
  <si>
    <t>Philippines</t>
  </si>
  <si>
    <t>Portugal</t>
  </si>
  <si>
    <t>Puerto Rico</t>
  </si>
  <si>
    <t>Saudi Arabia</t>
  </si>
  <si>
    <t>Singapore</t>
  </si>
  <si>
    <t>Spain</t>
  </si>
  <si>
    <t>Sweden</t>
  </si>
  <si>
    <t>Switzerland</t>
  </si>
  <si>
    <t>Taiwan</t>
  </si>
  <si>
    <t>United Arab Emirates</t>
  </si>
  <si>
    <t>United Kingdom</t>
  </si>
  <si>
    <t>Number of Forms 1042S</t>
  </si>
  <si>
    <t>Total U.S. - source income</t>
  </si>
  <si>
    <t>Total</t>
  </si>
  <si>
    <t>RECIPIENT TYPES</t>
  </si>
  <si>
    <t>U.S. tax                 withheld</t>
  </si>
  <si>
    <t>Czech Republic</t>
  </si>
  <si>
    <t>Hungary</t>
  </si>
  <si>
    <t>Liechtenstein</t>
  </si>
  <si>
    <t>Malaysia</t>
  </si>
  <si>
    <t>Oman</t>
  </si>
  <si>
    <t>Peru</t>
  </si>
  <si>
    <t>Poland</t>
  </si>
  <si>
    <t>Russia</t>
  </si>
  <si>
    <t>South Africa</t>
  </si>
  <si>
    <t>Trinidad and Tobago</t>
  </si>
  <si>
    <t>Uruguay</t>
  </si>
  <si>
    <t>Gabon</t>
  </si>
  <si>
    <t>Jamaica</t>
  </si>
  <si>
    <t>Cyprus</t>
  </si>
  <si>
    <t>Monaco</t>
  </si>
  <si>
    <t>Individuals</t>
  </si>
  <si>
    <t>Corporations</t>
  </si>
  <si>
    <t>Partnerships and trusts</t>
  </si>
  <si>
    <t>Governments and international organizations</t>
  </si>
  <si>
    <t>Other and unknown</t>
  </si>
  <si>
    <t>SELECTED COUNTRIES AND RECIPIENT TYPES</t>
  </si>
  <si>
    <t>East Timor</t>
  </si>
  <si>
    <t>Thailand</t>
  </si>
  <si>
    <t>Brunei</t>
  </si>
  <si>
    <t>Senegal</t>
  </si>
  <si>
    <t>U.S. branches treated as U.S. persons</t>
  </si>
  <si>
    <t>Indonesia</t>
  </si>
  <si>
    <t>Malta</t>
  </si>
  <si>
    <t>Withholding rate pools (general)</t>
  </si>
  <si>
    <t>Withholding rate pools (tax-exempt)</t>
  </si>
  <si>
    <t xml:space="preserve">    Withholding rate pools (general)</t>
  </si>
  <si>
    <t>Venezuela</t>
  </si>
  <si>
    <t>Interest</t>
  </si>
  <si>
    <t>Dividends</t>
  </si>
  <si>
    <t>Rents and royalties</t>
  </si>
  <si>
    <t>Social Security and railroad retirement payments</t>
  </si>
  <si>
    <t>Personal services income</t>
  </si>
  <si>
    <t>Notional principal contract income</t>
  </si>
  <si>
    <t>Turkey</t>
  </si>
  <si>
    <t>Vietnam</t>
  </si>
  <si>
    <t>Withholding foreign partnerships and trusts</t>
  </si>
  <si>
    <t>Macau</t>
  </si>
  <si>
    <t>Qatar</t>
  </si>
  <si>
    <t>d</t>
  </si>
  <si>
    <t>Egypt</t>
  </si>
  <si>
    <t>Liberia</t>
  </si>
  <si>
    <t>Recipient types and selected country and selected recipient type</t>
  </si>
  <si>
    <t>Bahrain</t>
  </si>
  <si>
    <t>Guatemala</t>
  </si>
  <si>
    <t>Iraq</t>
  </si>
  <si>
    <t>Romania</t>
  </si>
  <si>
    <r>
      <t xml:space="preserve">Foreign Recipients of U.S. Income Under Chapter 3 Withholding
Table 2. Forms 1042S:  Number, U.S. Tax Withheld, and U.S.-Source Income, by Principal Types of
Income, Selected Recipient Types, and Selected Countries of Recipients, 2019
</t>
    </r>
    <r>
      <rPr>
        <sz val="8"/>
        <rFont val="Arial"/>
        <family val="2"/>
      </rPr>
      <t>[Money amounts are in thousands of dollars]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 </t>
    </r>
  </si>
  <si>
    <t>Costa Rica</t>
  </si>
  <si>
    <t>Curacao</t>
  </si>
  <si>
    <t>Dominican Republic</t>
  </si>
  <si>
    <t>Honduras</t>
  </si>
  <si>
    <t>Ivory Coast</t>
  </si>
  <si>
    <t>Latvia</t>
  </si>
  <si>
    <t>Marshall Islands</t>
  </si>
  <si>
    <t>Mauritius</t>
  </si>
  <si>
    <t>Morocco</t>
  </si>
  <si>
    <t>Nigeria</t>
  </si>
  <si>
    <t>St Kitts &amp; Nevis</t>
  </si>
  <si>
    <t>U.S. Virgin Islands</t>
  </si>
  <si>
    <t>Artists and athletes [1]</t>
  </si>
  <si>
    <t>Hybrid entity making treaty claim</t>
  </si>
  <si>
    <t>Pensions</t>
  </si>
  <si>
    <t xml:space="preserve">d  Not shown to avoid disclosure of information about specific taxpayers.  However, the data are included in the appropriate totals                                                                                                                                                                                                                                                                                                                                                              [1] The majority of income for this recipient category is reported in a separate income code, specifically for artist and athlete income (which is not shown separately in this table).                                                                                                         Notes:  Detail may not add to totals because of rounding.  Form 1042S is entitled "Foreign Person's U.S. Source Income Subject to Withholding."  All countries with total U.S.-source income over $100 million for Calendar Year 2019 were selected for this table. Chapter 3 withholding describes the withholding regime that requires withholding on a payment of U.S. source income. Payments to foreign persons, including nonresident alien individuals, foreign entities, and governments, may be subject to Chapter 3 withholding.
Source: IRS, Statistics of Income Division, Foreign Recipients of U.S. Income, October 2021.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</si>
</sst>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(#\)"/>
    <numFmt numFmtId="165" formatCode="&quot;    &quot;@"/>
  </numFmts>
  <fonts count="14" x14ac:knownFonts="1">
    <font>
      <sz val="10"/>
      <name val="Arial"/>
    </font>
    <font>
      <b/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0"/>
      <name val="Arial"/>
      <family val="2"/>
    </font>
    <font>
      <sz val="8"/>
      <name val="Arial"/>
      <family val="2"/>
    </font>
    <font>
      <sz val="7"/>
      <color indexed="10"/>
      <name val="Arial"/>
      <family val="2"/>
    </font>
    <font>
      <sz val="6"/>
      <name val="Arial"/>
      <family val="2"/>
    </font>
    <font>
      <sz val="7"/>
      <name val="Helvetica"/>
    </font>
    <font>
      <b/>
      <sz val="8"/>
      <name val="Arial"/>
      <family val="2"/>
    </font>
    <font>
      <sz val="6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/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rgb="FF000000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0" tint="-0.24994659260841701"/>
      </top>
      <bottom/>
      <diagonal/>
    </border>
    <border>
      <left style="thin">
        <color rgb="FF000000"/>
      </left>
      <right/>
      <top style="thin">
        <color theme="0" tint="-0.2499465926084170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theme="0" tint="-0.24994659260841701"/>
      </bottom>
      <diagonal/>
    </border>
    <border>
      <left style="thin">
        <color rgb="FF000000"/>
      </left>
      <right/>
      <top/>
      <bottom style="thin">
        <color theme="0" tint="-0.24994659260841701"/>
      </bottom>
      <diagonal/>
    </border>
  </borders>
  <cellStyleXfs count="17">
    <xf numFmtId="0" fontId="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165" fontId="8" fillId="0" borderId="0">
      <alignment horizontal="left"/>
    </xf>
  </cellStyleXfs>
  <cellXfs count="56">
    <xf numFmtId="0" fontId="0" fillId="0" borderId="0" xfId="0"/>
    <xf numFmtId="0" fontId="3" fillId="0" borderId="0" xfId="0" applyFont="1"/>
    <xf numFmtId="164" fontId="3" fillId="0" borderId="1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49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10" fillId="0" borderId="0" xfId="16" applyNumberFormat="1" applyFont="1" applyAlignment="1">
      <alignment wrapText="1"/>
    </xf>
    <xf numFmtId="0" fontId="3" fillId="0" borderId="3" xfId="0" applyFont="1" applyBorder="1" applyAlignment="1">
      <alignment horizontal="center"/>
    </xf>
    <xf numFmtId="1" fontId="9" fillId="0" borderId="4" xfId="0" applyNumberFormat="1" applyFont="1" applyBorder="1"/>
    <xf numFmtId="1" fontId="9" fillId="0" borderId="19" xfId="0" applyNumberFormat="1" applyFont="1" applyBorder="1" applyAlignment="1">
      <alignment horizontal="center"/>
    </xf>
    <xf numFmtId="1" fontId="5" fillId="0" borderId="20" xfId="0" applyNumberFormat="1" applyFont="1" applyBorder="1" applyAlignment="1">
      <alignment horizontal="left"/>
    </xf>
    <xf numFmtId="1" fontId="5" fillId="0" borderId="21" xfId="0" applyNumberFormat="1" applyFont="1" applyBorder="1" applyAlignment="1">
      <alignment horizontal="left"/>
    </xf>
    <xf numFmtId="1" fontId="5" fillId="0" borderId="21" xfId="0" applyNumberFormat="1" applyFont="1" applyBorder="1"/>
    <xf numFmtId="1" fontId="5" fillId="0" borderId="22" xfId="0" applyNumberFormat="1" applyFont="1" applyBorder="1" applyAlignment="1">
      <alignment horizontal="left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1" fontId="5" fillId="2" borderId="21" xfId="0" applyNumberFormat="1" applyFont="1" applyFill="1" applyBorder="1"/>
    <xf numFmtId="1" fontId="5" fillId="0" borderId="20" xfId="0" applyNumberFormat="1" applyFont="1" applyBorder="1"/>
    <xf numFmtId="3" fontId="12" fillId="0" borderId="23" xfId="0" applyNumberFormat="1" applyFont="1" applyBorder="1" applyAlignment="1">
      <alignment horizontal="right" wrapText="1"/>
    </xf>
    <xf numFmtId="3" fontId="13" fillId="0" borderId="23" xfId="0" applyNumberFormat="1" applyFont="1" applyBorder="1" applyAlignment="1">
      <alignment horizontal="right" wrapText="1"/>
    </xf>
    <xf numFmtId="3" fontId="12" fillId="0" borderId="24" xfId="0" applyNumberFormat="1" applyFont="1" applyBorder="1" applyAlignment="1">
      <alignment horizontal="right" wrapText="1"/>
    </xf>
    <xf numFmtId="3" fontId="13" fillId="0" borderId="25" xfId="0" applyNumberFormat="1" applyFont="1" applyBorder="1" applyAlignment="1">
      <alignment horizontal="right" wrapText="1"/>
    </xf>
    <xf numFmtId="3" fontId="12" fillId="0" borderId="26" xfId="0" applyNumberFormat="1" applyFont="1" applyBorder="1" applyAlignment="1">
      <alignment horizontal="right" wrapText="1"/>
    </xf>
    <xf numFmtId="3" fontId="12" fillId="0" borderId="27" xfId="0" applyNumberFormat="1" applyFont="1" applyBorder="1" applyAlignment="1">
      <alignment horizontal="right" wrapText="1"/>
    </xf>
    <xf numFmtId="3" fontId="12" fillId="0" borderId="28" xfId="0" applyNumberFormat="1" applyFont="1" applyBorder="1" applyAlignment="1">
      <alignment horizontal="right" wrapText="1"/>
    </xf>
    <xf numFmtId="3" fontId="12" fillId="0" borderId="29" xfId="0" applyNumberFormat="1" applyFont="1" applyBorder="1" applyAlignment="1">
      <alignment horizontal="right" wrapText="1"/>
    </xf>
    <xf numFmtId="3" fontId="12" fillId="0" borderId="30" xfId="0" applyNumberFormat="1" applyFont="1" applyBorder="1" applyAlignment="1">
      <alignment horizontal="right" wrapText="1"/>
    </xf>
    <xf numFmtId="3" fontId="12" fillId="0" borderId="31" xfId="0" applyNumberFormat="1" applyFont="1" applyBorder="1" applyAlignment="1">
      <alignment horizontal="right" wrapText="1"/>
    </xf>
    <xf numFmtId="3" fontId="2" fillId="0" borderId="0" xfId="0" applyNumberFormat="1" applyFont="1" applyAlignment="1">
      <alignment horizontal="right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  <xf numFmtId="0" fontId="1" fillId="2" borderId="15" xfId="0" applyFont="1" applyFill="1" applyBorder="1" applyAlignment="1">
      <alignment horizontal="left" vertical="top" wrapText="1"/>
    </xf>
    <xf numFmtId="0" fontId="5" fillId="0" borderId="1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</cellXfs>
  <cellStyles count="17">
    <cellStyle name="Normal" xfId="0" builtinId="0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3" xfId="5" xr:uid="{00000000-0005-0000-0000-000005000000}"/>
    <cellStyle name="Normal 4" xfId="6" xr:uid="{00000000-0005-0000-0000-000006000000}"/>
    <cellStyle name="Normal 4 2" xfId="7" xr:uid="{00000000-0005-0000-0000-000007000000}"/>
    <cellStyle name="Normal 5" xfId="8" xr:uid="{00000000-0005-0000-0000-000008000000}"/>
    <cellStyle name="Normal 5 2" xfId="9" xr:uid="{00000000-0005-0000-0000-000009000000}"/>
    <cellStyle name="Normal 6" xfId="10" xr:uid="{00000000-0005-0000-0000-00000A000000}"/>
    <cellStyle name="Normal 6 2" xfId="11" xr:uid="{00000000-0005-0000-0000-00000B000000}"/>
    <cellStyle name="Normal 7" xfId="12" xr:uid="{00000000-0005-0000-0000-00000C000000}"/>
    <cellStyle name="Normal 7 2" xfId="13" xr:uid="{00000000-0005-0000-0000-00000D000000}"/>
    <cellStyle name="Normal 8" xfId="14" xr:uid="{00000000-0005-0000-0000-00000E000000}"/>
    <cellStyle name="Normal 9" xfId="15" xr:uid="{00000000-0005-0000-0000-00000F000000}"/>
    <cellStyle name="style_footnotes" xfId="16" xr:uid="{00000000-0005-0000-0000-00001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1D503-0FF5-4889-9A3C-063CBD303700}">
  <dimension ref="A1:AC388"/>
  <sheetViews>
    <sheetView tabSelected="1" workbookViewId="0">
      <selection activeCell="L11" sqref="L11"/>
    </sheetView>
  </sheetViews>
  <sheetFormatPr defaultColWidth="9.1796875" defaultRowHeight="9" x14ac:dyDescent="0.2"/>
  <cols>
    <col min="1" max="1" width="34.7265625" style="1" customWidth="1"/>
    <col min="2" max="2" width="9.7265625" style="1" customWidth="1"/>
    <col min="3" max="3" width="12" style="1" customWidth="1"/>
    <col min="4" max="4" width="13.81640625" style="1" customWidth="1"/>
    <col min="5" max="5" width="12.26953125" style="1" customWidth="1"/>
    <col min="6" max="6" width="12.7265625" style="1" customWidth="1"/>
    <col min="7" max="7" width="11.54296875" style="1" customWidth="1"/>
    <col min="8" max="8" width="11.26953125" style="8" customWidth="1"/>
    <col min="9" max="9" width="11" style="1" customWidth="1"/>
    <col min="10" max="10" width="12.81640625" style="1" customWidth="1"/>
    <col min="11" max="11" width="9.1796875" style="1"/>
    <col min="12" max="12" width="10" style="1" bestFit="1" customWidth="1"/>
    <col min="13" max="13" width="10.54296875" style="1" bestFit="1" customWidth="1"/>
    <col min="14" max="14" width="9.54296875" style="1" bestFit="1" customWidth="1"/>
    <col min="15" max="19" width="9.26953125" style="1" bestFit="1" customWidth="1"/>
    <col min="20" max="16384" width="9.1796875" style="1"/>
  </cols>
  <sheetData>
    <row r="1" spans="1:20" ht="15" customHeight="1" x14ac:dyDescent="0.2">
      <c r="A1" s="39" t="s">
        <v>109</v>
      </c>
      <c r="B1" s="39"/>
      <c r="C1" s="39"/>
      <c r="D1" s="39"/>
      <c r="E1" s="39"/>
      <c r="F1" s="39"/>
      <c r="G1" s="39"/>
      <c r="H1" s="39"/>
      <c r="I1" s="39"/>
      <c r="J1" s="39"/>
    </row>
    <row r="2" spans="1:20" s="5" customFormat="1" ht="15" customHeigh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6"/>
      <c r="L2" s="1"/>
      <c r="M2" s="1"/>
      <c r="N2" s="1"/>
      <c r="O2" s="1"/>
      <c r="P2" s="1"/>
      <c r="Q2" s="1"/>
    </row>
    <row r="3" spans="1:20" s="5" customFormat="1" ht="15" customHeight="1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1"/>
      <c r="L3" s="1"/>
      <c r="M3" s="1"/>
      <c r="N3" s="6"/>
      <c r="O3" s="6"/>
      <c r="P3" s="6"/>
    </row>
    <row r="4" spans="1:20" ht="15" customHeight="1" thickBot="1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L4" s="6"/>
    </row>
    <row r="5" spans="1:20" s="6" customFormat="1" ht="15" customHeight="1" thickTop="1" x14ac:dyDescent="0.2">
      <c r="A5" s="41" t="s">
        <v>104</v>
      </c>
      <c r="B5" s="44" t="s">
        <v>53</v>
      </c>
      <c r="C5" s="45" t="s">
        <v>57</v>
      </c>
      <c r="D5" s="44" t="s">
        <v>54</v>
      </c>
      <c r="E5" s="48" t="s">
        <v>0</v>
      </c>
      <c r="F5" s="49"/>
      <c r="G5" s="49"/>
      <c r="H5" s="49"/>
      <c r="I5" s="49"/>
      <c r="J5" s="49"/>
    </row>
    <row r="6" spans="1:20" s="6" customFormat="1" ht="15" customHeight="1" x14ac:dyDescent="0.2">
      <c r="A6" s="42"/>
      <c r="B6" s="34"/>
      <c r="C6" s="46" t="s">
        <v>1</v>
      </c>
      <c r="D6" s="34" t="s">
        <v>2</v>
      </c>
      <c r="E6" s="50" t="s">
        <v>90</v>
      </c>
      <c r="F6" s="53" t="s">
        <v>91</v>
      </c>
      <c r="G6" s="33" t="s">
        <v>92</v>
      </c>
      <c r="H6" s="33" t="s">
        <v>93</v>
      </c>
      <c r="I6" s="33" t="s">
        <v>94</v>
      </c>
      <c r="J6" s="36" t="s">
        <v>95</v>
      </c>
    </row>
    <row r="7" spans="1:20" s="6" customFormat="1" ht="15" customHeight="1" x14ac:dyDescent="0.2">
      <c r="A7" s="42"/>
      <c r="B7" s="34"/>
      <c r="C7" s="46" t="s">
        <v>3</v>
      </c>
      <c r="D7" s="34" t="s">
        <v>4</v>
      </c>
      <c r="E7" s="51"/>
      <c r="F7" s="54"/>
      <c r="G7" s="34"/>
      <c r="H7" s="34"/>
      <c r="I7" s="34"/>
      <c r="J7" s="37"/>
    </row>
    <row r="8" spans="1:20" s="6" customFormat="1" ht="39.75" customHeight="1" x14ac:dyDescent="0.2">
      <c r="A8" s="43"/>
      <c r="B8" s="35"/>
      <c r="C8" s="47"/>
      <c r="D8" s="35"/>
      <c r="E8" s="52"/>
      <c r="F8" s="55"/>
      <c r="G8" s="35"/>
      <c r="H8" s="35"/>
      <c r="I8" s="35"/>
      <c r="J8" s="38"/>
    </row>
    <row r="9" spans="1:20" s="6" customFormat="1" ht="15" customHeight="1" x14ac:dyDescent="0.2">
      <c r="A9" s="11"/>
      <c r="B9" s="3">
        <v>1</v>
      </c>
      <c r="C9" s="2">
        <v>2</v>
      </c>
      <c r="D9" s="2">
        <v>3</v>
      </c>
      <c r="E9" s="2">
        <v>4</v>
      </c>
      <c r="F9" s="2">
        <v>5</v>
      </c>
      <c r="G9" s="2">
        <v>6</v>
      </c>
      <c r="H9" s="2">
        <v>7</v>
      </c>
      <c r="I9" s="2">
        <v>8</v>
      </c>
      <c r="J9" s="3">
        <v>9</v>
      </c>
      <c r="L9" s="6">
        <f>38000/12</f>
        <v>3166.6666666666665</v>
      </c>
    </row>
    <row r="10" spans="1:20" s="7" customFormat="1" ht="15" customHeight="1" x14ac:dyDescent="0.25">
      <c r="A10" s="12" t="s">
        <v>55</v>
      </c>
      <c r="B10" s="23">
        <v>7109642</v>
      </c>
      <c r="C10" s="23">
        <v>21104721</v>
      </c>
      <c r="D10" s="23">
        <v>1125665809</v>
      </c>
      <c r="E10" s="23">
        <v>577342319</v>
      </c>
      <c r="F10" s="23">
        <v>245194271</v>
      </c>
      <c r="G10" s="23">
        <v>69535524</v>
      </c>
      <c r="H10" s="23">
        <v>2242544</v>
      </c>
      <c r="I10" s="23">
        <v>8472183</v>
      </c>
      <c r="J10" s="25">
        <v>54730119</v>
      </c>
      <c r="L10" s="32">
        <f>35*8*4*12</f>
        <v>13440</v>
      </c>
      <c r="M10" s="32"/>
      <c r="N10" s="32"/>
      <c r="O10" s="32"/>
      <c r="P10" s="32"/>
      <c r="Q10" s="32"/>
      <c r="R10" s="32"/>
      <c r="S10" s="32"/>
      <c r="T10" s="19"/>
    </row>
    <row r="11" spans="1:20" s="7" customFormat="1" ht="15" customHeight="1" x14ac:dyDescent="0.25">
      <c r="A11" s="13" t="s">
        <v>56</v>
      </c>
      <c r="B11" s="28"/>
      <c r="C11" s="28"/>
      <c r="D11" s="28"/>
      <c r="E11" s="28"/>
      <c r="F11" s="28"/>
      <c r="G11" s="28"/>
      <c r="H11" s="28"/>
      <c r="I11" s="28"/>
      <c r="J11" s="29"/>
      <c r="L11" s="32">
        <f>35*10*4*12</f>
        <v>16800</v>
      </c>
      <c r="M11" s="32"/>
      <c r="N11" s="32"/>
      <c r="O11" s="32"/>
      <c r="P11" s="32"/>
      <c r="Q11" s="32"/>
      <c r="R11" s="32"/>
      <c r="S11" s="32"/>
      <c r="T11" s="6"/>
    </row>
    <row r="12" spans="1:20" s="7" customFormat="1" ht="15" customHeight="1" x14ac:dyDescent="0.2">
      <c r="A12" s="14" t="s">
        <v>73</v>
      </c>
      <c r="B12" s="30">
        <v>5456187</v>
      </c>
      <c r="C12" s="30">
        <v>1579649</v>
      </c>
      <c r="D12" s="30">
        <v>15751990</v>
      </c>
      <c r="E12" s="30">
        <v>2755916</v>
      </c>
      <c r="F12" s="30">
        <v>3435893</v>
      </c>
      <c r="G12" s="30">
        <v>1693707</v>
      </c>
      <c r="H12" s="30">
        <v>2242544</v>
      </c>
      <c r="I12" s="30">
        <v>1244661</v>
      </c>
      <c r="J12" s="31">
        <v>0</v>
      </c>
      <c r="L12" s="32"/>
      <c r="M12" s="32"/>
      <c r="N12" s="32"/>
      <c r="O12" s="32"/>
      <c r="P12" s="32"/>
      <c r="Q12" s="32"/>
      <c r="R12" s="32"/>
      <c r="S12" s="32"/>
      <c r="T12" s="6"/>
    </row>
    <row r="13" spans="1:20" s="7" customFormat="1" ht="15" customHeight="1" x14ac:dyDescent="0.2">
      <c r="A13" s="15" t="s">
        <v>74</v>
      </c>
      <c r="B13" s="22">
        <v>810446</v>
      </c>
      <c r="C13" s="22">
        <v>12067047</v>
      </c>
      <c r="D13" s="22">
        <v>702821916</v>
      </c>
      <c r="E13" s="22">
        <v>343414667</v>
      </c>
      <c r="F13" s="22">
        <v>134713323</v>
      </c>
      <c r="G13" s="22">
        <v>54947917</v>
      </c>
      <c r="H13" s="22">
        <v>0</v>
      </c>
      <c r="I13" s="22">
        <v>6245053</v>
      </c>
      <c r="J13" s="26">
        <v>53057238</v>
      </c>
      <c r="L13" s="32"/>
      <c r="M13" s="32"/>
      <c r="N13" s="32"/>
      <c r="O13" s="32"/>
      <c r="P13" s="32"/>
      <c r="Q13" s="32"/>
      <c r="R13" s="32"/>
      <c r="S13" s="32"/>
      <c r="T13" s="6"/>
    </row>
    <row r="14" spans="1:20" s="7" customFormat="1" ht="15" customHeight="1" x14ac:dyDescent="0.2">
      <c r="A14" s="15" t="s">
        <v>75</v>
      </c>
      <c r="B14" s="22">
        <v>184442</v>
      </c>
      <c r="C14" s="22">
        <v>869572</v>
      </c>
      <c r="D14" s="22">
        <v>32028557</v>
      </c>
      <c r="E14" s="22">
        <v>14528010</v>
      </c>
      <c r="F14" s="22">
        <v>12065956</v>
      </c>
      <c r="G14" s="22">
        <v>889985</v>
      </c>
      <c r="H14" s="22">
        <v>0</v>
      </c>
      <c r="I14" s="22">
        <v>374905</v>
      </c>
      <c r="J14" s="26">
        <v>1371</v>
      </c>
      <c r="L14" s="32"/>
      <c r="M14" s="32"/>
      <c r="N14" s="32"/>
      <c r="O14" s="32"/>
      <c r="P14" s="32"/>
      <c r="Q14" s="32"/>
      <c r="R14" s="32"/>
      <c r="S14" s="32"/>
      <c r="T14" s="6"/>
    </row>
    <row r="15" spans="1:20" s="7" customFormat="1" ht="15" customHeight="1" x14ac:dyDescent="0.2">
      <c r="A15" s="15" t="s">
        <v>83</v>
      </c>
      <c r="B15" s="22">
        <v>2195</v>
      </c>
      <c r="C15" s="22">
        <v>52324</v>
      </c>
      <c r="D15" s="22">
        <v>50897523</v>
      </c>
      <c r="E15" s="22">
        <v>33981893</v>
      </c>
      <c r="F15" s="22">
        <v>7365011</v>
      </c>
      <c r="G15" s="22">
        <v>21597</v>
      </c>
      <c r="H15" s="22">
        <v>0</v>
      </c>
      <c r="I15" s="22">
        <v>27028</v>
      </c>
      <c r="J15" s="26">
        <v>1255051</v>
      </c>
      <c r="L15" s="32"/>
      <c r="M15" s="32"/>
      <c r="N15" s="32"/>
      <c r="O15" s="32"/>
      <c r="P15" s="32"/>
      <c r="Q15" s="32"/>
      <c r="R15" s="32"/>
      <c r="S15" s="32"/>
      <c r="T15" s="6"/>
    </row>
    <row r="16" spans="1:20" s="7" customFormat="1" ht="15" customHeight="1" x14ac:dyDescent="0.2">
      <c r="A16" s="15" t="s">
        <v>76</v>
      </c>
      <c r="B16" s="22">
        <v>61577</v>
      </c>
      <c r="C16" s="22">
        <v>41304</v>
      </c>
      <c r="D16" s="22">
        <v>152505395</v>
      </c>
      <c r="E16" s="22">
        <v>110026283</v>
      </c>
      <c r="F16" s="22">
        <v>28798189</v>
      </c>
      <c r="G16" s="22">
        <v>174987</v>
      </c>
      <c r="H16" s="22">
        <v>0</v>
      </c>
      <c r="I16" s="22">
        <v>28481</v>
      </c>
      <c r="J16" s="26">
        <v>9</v>
      </c>
      <c r="L16" s="32"/>
      <c r="M16" s="32"/>
      <c r="N16" s="32"/>
      <c r="O16" s="32"/>
      <c r="P16" s="32"/>
      <c r="Q16" s="32"/>
      <c r="R16" s="32"/>
      <c r="S16" s="32"/>
      <c r="T16" s="6"/>
    </row>
    <row r="17" spans="1:20" s="7" customFormat="1" ht="15" customHeight="1" x14ac:dyDescent="0.2">
      <c r="A17" s="15" t="s">
        <v>123</v>
      </c>
      <c r="B17" s="22">
        <v>2292</v>
      </c>
      <c r="C17" s="22">
        <v>125161</v>
      </c>
      <c r="D17" s="22">
        <v>16620201</v>
      </c>
      <c r="E17" s="22">
        <v>3746326</v>
      </c>
      <c r="F17" s="22">
        <v>4438573</v>
      </c>
      <c r="G17" s="22">
        <v>2937100</v>
      </c>
      <c r="H17" s="22">
        <v>0</v>
      </c>
      <c r="I17" s="22">
        <v>139062</v>
      </c>
      <c r="J17" s="26">
        <v>0</v>
      </c>
      <c r="L17" s="32"/>
      <c r="M17" s="32"/>
      <c r="N17" s="32"/>
      <c r="O17" s="32"/>
      <c r="P17" s="32"/>
      <c r="Q17" s="32"/>
      <c r="R17" s="32"/>
      <c r="S17" s="32"/>
      <c r="T17" s="6"/>
    </row>
    <row r="18" spans="1:20" s="7" customFormat="1" ht="15" customHeight="1" x14ac:dyDescent="0.2">
      <c r="A18" s="15" t="s">
        <v>98</v>
      </c>
      <c r="B18" s="22">
        <v>5993</v>
      </c>
      <c r="C18" s="22">
        <v>7492</v>
      </c>
      <c r="D18" s="22">
        <v>6256318</v>
      </c>
      <c r="E18" s="22">
        <v>2764691</v>
      </c>
      <c r="F18" s="22">
        <v>1857318</v>
      </c>
      <c r="G18" s="22">
        <v>33949</v>
      </c>
      <c r="H18" s="22">
        <v>0</v>
      </c>
      <c r="I18" s="22">
        <v>39530</v>
      </c>
      <c r="J18" s="26">
        <v>103536</v>
      </c>
      <c r="L18" s="32"/>
      <c r="M18" s="32"/>
      <c r="N18" s="32"/>
      <c r="O18" s="32"/>
      <c r="P18" s="32"/>
      <c r="Q18" s="32"/>
      <c r="R18" s="32"/>
      <c r="S18" s="32"/>
      <c r="T18" s="6"/>
    </row>
    <row r="19" spans="1:20" s="7" customFormat="1" ht="15" customHeight="1" x14ac:dyDescent="0.2">
      <c r="A19" s="15" t="s">
        <v>122</v>
      </c>
      <c r="B19" s="22">
        <v>36089</v>
      </c>
      <c r="C19" s="22">
        <v>291306</v>
      </c>
      <c r="D19" s="22">
        <v>1246470</v>
      </c>
      <c r="E19" s="22">
        <v>1037</v>
      </c>
      <c r="F19" s="22">
        <v>1248</v>
      </c>
      <c r="G19" s="22">
        <v>126112</v>
      </c>
      <c r="H19" s="22">
        <v>0</v>
      </c>
      <c r="I19" s="22">
        <v>5070</v>
      </c>
      <c r="J19" s="26">
        <v>0</v>
      </c>
      <c r="L19" s="32"/>
      <c r="M19" s="32"/>
      <c r="N19" s="32"/>
      <c r="O19" s="32"/>
      <c r="P19" s="32"/>
      <c r="Q19" s="32"/>
      <c r="R19" s="32"/>
      <c r="S19" s="32"/>
      <c r="T19" s="6"/>
    </row>
    <row r="20" spans="1:20" s="7" customFormat="1" ht="15" customHeight="1" x14ac:dyDescent="0.2">
      <c r="A20" s="15" t="s">
        <v>86</v>
      </c>
      <c r="B20" s="22">
        <v>29941</v>
      </c>
      <c r="C20" s="22">
        <v>5615994</v>
      </c>
      <c r="D20" s="22">
        <v>97378603</v>
      </c>
      <c r="E20" s="22">
        <v>50246054</v>
      </c>
      <c r="F20" s="22">
        <v>40475938</v>
      </c>
      <c r="G20" s="22">
        <v>195664</v>
      </c>
      <c r="H20" s="22">
        <v>0</v>
      </c>
      <c r="I20" s="22">
        <v>13852</v>
      </c>
      <c r="J20" s="26">
        <v>0</v>
      </c>
      <c r="L20" s="32"/>
      <c r="M20" s="32"/>
      <c r="N20" s="32"/>
      <c r="O20" s="32"/>
      <c r="P20" s="32"/>
      <c r="Q20" s="32"/>
      <c r="R20" s="32"/>
      <c r="S20" s="32"/>
      <c r="T20" s="6"/>
    </row>
    <row r="21" spans="1:20" s="7" customFormat="1" ht="15" customHeight="1" x14ac:dyDescent="0.2">
      <c r="A21" s="15" t="s">
        <v>87</v>
      </c>
      <c r="B21" s="22">
        <v>901</v>
      </c>
      <c r="C21" s="22">
        <v>1129</v>
      </c>
      <c r="D21" s="22">
        <v>16561881</v>
      </c>
      <c r="E21" s="22">
        <v>7176149</v>
      </c>
      <c r="F21" s="22">
        <v>7967501</v>
      </c>
      <c r="G21" s="22">
        <v>2</v>
      </c>
      <c r="H21" s="22">
        <v>0</v>
      </c>
      <c r="I21" s="22">
        <v>0</v>
      </c>
      <c r="J21" s="26">
        <v>0</v>
      </c>
      <c r="L21" s="32"/>
      <c r="M21" s="32"/>
      <c r="N21" s="32"/>
      <c r="O21" s="32"/>
      <c r="P21" s="32"/>
      <c r="Q21" s="32"/>
      <c r="R21" s="32"/>
      <c r="S21" s="32"/>
      <c r="T21" s="6"/>
    </row>
    <row r="22" spans="1:20" s="7" customFormat="1" ht="15" customHeight="1" x14ac:dyDescent="0.2">
      <c r="A22" s="15" t="s">
        <v>124</v>
      </c>
      <c r="B22" s="22">
        <v>7525</v>
      </c>
      <c r="C22" s="22">
        <v>74243</v>
      </c>
      <c r="D22" s="22">
        <v>2800604</v>
      </c>
      <c r="E22" s="22">
        <v>564612</v>
      </c>
      <c r="F22" s="22">
        <v>367730</v>
      </c>
      <c r="G22" s="22">
        <v>2035</v>
      </c>
      <c r="H22" s="22">
        <v>0</v>
      </c>
      <c r="I22" s="22">
        <v>730</v>
      </c>
      <c r="J22" s="26">
        <v>0</v>
      </c>
      <c r="L22" s="32"/>
      <c r="M22" s="32"/>
      <c r="N22" s="32"/>
      <c r="O22" s="32"/>
      <c r="P22" s="32"/>
      <c r="Q22" s="32"/>
      <c r="R22" s="32"/>
      <c r="S22" s="32"/>
      <c r="T22" s="6"/>
    </row>
    <row r="23" spans="1:20" s="7" customFormat="1" ht="15" customHeight="1" x14ac:dyDescent="0.2">
      <c r="A23" s="15" t="s">
        <v>77</v>
      </c>
      <c r="B23" s="22">
        <v>512054</v>
      </c>
      <c r="C23" s="22">
        <v>379499</v>
      </c>
      <c r="D23" s="22">
        <v>30796352</v>
      </c>
      <c r="E23" s="22">
        <v>8136680</v>
      </c>
      <c r="F23" s="22">
        <v>3707590</v>
      </c>
      <c r="G23" s="22">
        <v>8512468</v>
      </c>
      <c r="H23" s="22">
        <v>0</v>
      </c>
      <c r="I23" s="22">
        <v>353811</v>
      </c>
      <c r="J23" s="26">
        <v>312913</v>
      </c>
      <c r="L23" s="32"/>
      <c r="M23" s="32"/>
      <c r="N23" s="32"/>
      <c r="O23" s="32"/>
      <c r="P23" s="32"/>
      <c r="Q23" s="32"/>
      <c r="R23" s="32"/>
      <c r="S23" s="32"/>
      <c r="T23" s="6"/>
    </row>
    <row r="24" spans="1:20" s="7" customFormat="1" ht="15" customHeight="1" x14ac:dyDescent="0.25">
      <c r="A24" s="13" t="s">
        <v>78</v>
      </c>
      <c r="B24" s="22"/>
      <c r="C24" s="22"/>
      <c r="D24" s="22"/>
      <c r="E24" s="22"/>
      <c r="F24" s="22"/>
      <c r="G24" s="22"/>
      <c r="H24" s="22"/>
      <c r="I24" s="22"/>
      <c r="J24" s="26"/>
      <c r="L24" s="32"/>
      <c r="M24" s="32"/>
      <c r="N24" s="32"/>
      <c r="O24" s="32"/>
      <c r="P24" s="32"/>
      <c r="Q24" s="32"/>
      <c r="R24" s="32"/>
      <c r="S24" s="32"/>
      <c r="T24" s="6"/>
    </row>
    <row r="25" spans="1:20" ht="15" customHeight="1" x14ac:dyDescent="0.2">
      <c r="A25" s="21" t="s">
        <v>5</v>
      </c>
      <c r="B25" s="22">
        <v>111672</v>
      </c>
      <c r="C25" s="22">
        <v>37363</v>
      </c>
      <c r="D25" s="22">
        <v>589675</v>
      </c>
      <c r="E25" s="22">
        <v>360581</v>
      </c>
      <c r="F25" s="22">
        <v>67874</v>
      </c>
      <c r="G25" s="22">
        <v>36825</v>
      </c>
      <c r="H25" s="22">
        <v>7692</v>
      </c>
      <c r="I25" s="22">
        <v>10928</v>
      </c>
      <c r="J25" s="26">
        <v>0</v>
      </c>
      <c r="L25" s="32"/>
      <c r="M25" s="32"/>
      <c r="N25" s="32"/>
      <c r="O25" s="32"/>
      <c r="P25" s="32"/>
      <c r="Q25" s="32"/>
      <c r="R25" s="32"/>
      <c r="S25" s="32"/>
      <c r="T25" s="6"/>
    </row>
    <row r="26" spans="1:20" ht="15" customHeight="1" x14ac:dyDescent="0.2">
      <c r="A26" s="15" t="s">
        <v>6</v>
      </c>
      <c r="B26" s="22">
        <v>103323</v>
      </c>
      <c r="C26" s="22">
        <v>20372</v>
      </c>
      <c r="D26" s="22">
        <v>280188</v>
      </c>
      <c r="E26" s="22">
        <v>195164</v>
      </c>
      <c r="F26" s="22">
        <v>46352</v>
      </c>
      <c r="G26" s="22">
        <v>3671</v>
      </c>
      <c r="H26" s="22">
        <v>7692</v>
      </c>
      <c r="I26" s="22">
        <v>3623</v>
      </c>
      <c r="J26" s="26">
        <v>0</v>
      </c>
      <c r="L26" s="32"/>
      <c r="M26" s="32"/>
      <c r="N26" s="32"/>
      <c r="O26" s="32"/>
      <c r="P26" s="32"/>
      <c r="Q26" s="32"/>
      <c r="R26" s="32"/>
      <c r="S26" s="32"/>
      <c r="T26" s="6"/>
    </row>
    <row r="27" spans="1:20" ht="15" customHeight="1" x14ac:dyDescent="0.2">
      <c r="A27" s="15" t="s">
        <v>7</v>
      </c>
      <c r="B27" s="22">
        <v>2653</v>
      </c>
      <c r="C27" s="22">
        <v>12480</v>
      </c>
      <c r="D27" s="22">
        <v>96414</v>
      </c>
      <c r="E27" s="22">
        <v>50969</v>
      </c>
      <c r="F27" s="22">
        <v>14865</v>
      </c>
      <c r="G27" s="22">
        <v>13329</v>
      </c>
      <c r="H27" s="22">
        <v>0</v>
      </c>
      <c r="I27" s="22">
        <v>5741</v>
      </c>
      <c r="J27" s="26">
        <v>0</v>
      </c>
      <c r="L27" s="32"/>
      <c r="M27" s="32"/>
      <c r="N27" s="32"/>
      <c r="O27" s="32"/>
      <c r="P27" s="32"/>
      <c r="Q27" s="32"/>
      <c r="R27" s="32"/>
      <c r="S27" s="32"/>
      <c r="T27" s="6"/>
    </row>
    <row r="28" spans="1:20" ht="15" customHeight="1" x14ac:dyDescent="0.2">
      <c r="A28" s="15" t="s">
        <v>88</v>
      </c>
      <c r="B28" s="22">
        <v>17</v>
      </c>
      <c r="C28" s="22">
        <v>42</v>
      </c>
      <c r="D28" s="22">
        <v>458</v>
      </c>
      <c r="E28" s="22">
        <v>299</v>
      </c>
      <c r="F28" s="22">
        <v>133</v>
      </c>
      <c r="G28" s="22">
        <v>0</v>
      </c>
      <c r="H28" s="22">
        <v>0</v>
      </c>
      <c r="I28" s="22">
        <v>0</v>
      </c>
      <c r="J28" s="26">
        <v>0</v>
      </c>
      <c r="L28" s="32"/>
      <c r="M28" s="32"/>
      <c r="N28" s="32"/>
      <c r="O28" s="32"/>
      <c r="P28" s="32"/>
      <c r="Q28" s="32"/>
      <c r="R28" s="32"/>
      <c r="S28" s="32"/>
      <c r="T28" s="6"/>
    </row>
    <row r="29" spans="1:20" ht="15" customHeight="1" x14ac:dyDescent="0.2">
      <c r="A29" s="16" t="s">
        <v>8</v>
      </c>
      <c r="B29" s="22">
        <v>252205</v>
      </c>
      <c r="C29" s="22">
        <v>735239</v>
      </c>
      <c r="D29" s="22">
        <v>14452992</v>
      </c>
      <c r="E29" s="22">
        <v>5970529</v>
      </c>
      <c r="F29" s="22">
        <v>5161928</v>
      </c>
      <c r="G29" s="22">
        <v>951819</v>
      </c>
      <c r="H29" s="22">
        <v>45169</v>
      </c>
      <c r="I29" s="22">
        <v>54640</v>
      </c>
      <c r="J29" s="26">
        <v>31331</v>
      </c>
      <c r="L29" s="32"/>
      <c r="M29" s="32"/>
      <c r="N29" s="32"/>
      <c r="O29" s="32"/>
      <c r="P29" s="32"/>
      <c r="Q29" s="32"/>
      <c r="R29" s="32"/>
      <c r="S29" s="32"/>
      <c r="T29" s="6"/>
    </row>
    <row r="30" spans="1:20" ht="15" customHeight="1" x14ac:dyDescent="0.2">
      <c r="A30" s="15" t="s">
        <v>6</v>
      </c>
      <c r="B30" s="22">
        <v>161572</v>
      </c>
      <c r="C30" s="22">
        <v>49916</v>
      </c>
      <c r="D30" s="22">
        <v>348930</v>
      </c>
      <c r="E30" s="22">
        <v>19298</v>
      </c>
      <c r="F30" s="22">
        <v>108316</v>
      </c>
      <c r="G30" s="22">
        <v>56927</v>
      </c>
      <c r="H30" s="22">
        <v>45169</v>
      </c>
      <c r="I30" s="22">
        <v>12113</v>
      </c>
      <c r="J30" s="26">
        <v>0</v>
      </c>
      <c r="L30" s="32"/>
      <c r="M30" s="32"/>
      <c r="N30" s="32"/>
      <c r="O30" s="32"/>
      <c r="P30" s="32"/>
      <c r="Q30" s="32"/>
      <c r="R30" s="32"/>
      <c r="S30" s="32"/>
      <c r="T30" s="6"/>
    </row>
    <row r="31" spans="1:20" ht="15" customHeight="1" x14ac:dyDescent="0.2">
      <c r="A31" s="15" t="s">
        <v>7</v>
      </c>
      <c r="B31" s="22">
        <v>17316</v>
      </c>
      <c r="C31" s="22">
        <v>369860</v>
      </c>
      <c r="D31" s="22">
        <v>8517966</v>
      </c>
      <c r="E31" s="22">
        <v>3956185</v>
      </c>
      <c r="F31" s="22">
        <v>2157899</v>
      </c>
      <c r="G31" s="22">
        <v>829257</v>
      </c>
      <c r="H31" s="22">
        <v>0</v>
      </c>
      <c r="I31" s="22">
        <v>35517</v>
      </c>
      <c r="J31" s="26">
        <v>31331</v>
      </c>
      <c r="L31" s="32"/>
      <c r="M31" s="32"/>
      <c r="N31" s="32"/>
      <c r="O31" s="32"/>
      <c r="P31" s="32"/>
      <c r="Q31" s="32"/>
      <c r="R31" s="32"/>
      <c r="S31" s="32"/>
      <c r="T31" s="6"/>
    </row>
    <row r="32" spans="1:20" ht="15" customHeight="1" x14ac:dyDescent="0.2">
      <c r="A32" s="15" t="s">
        <v>88</v>
      </c>
      <c r="B32" s="22">
        <v>80</v>
      </c>
      <c r="C32" s="22">
        <v>10974</v>
      </c>
      <c r="D32" s="22">
        <v>72784</v>
      </c>
      <c r="E32" s="22">
        <v>11786</v>
      </c>
      <c r="F32" s="22">
        <v>59076</v>
      </c>
      <c r="G32" s="22">
        <v>0</v>
      </c>
      <c r="H32" s="22">
        <v>0</v>
      </c>
      <c r="I32" s="22">
        <v>0</v>
      </c>
      <c r="J32" s="26">
        <v>0</v>
      </c>
      <c r="L32" s="32"/>
      <c r="M32" s="32"/>
      <c r="N32" s="32"/>
      <c r="O32" s="32"/>
      <c r="P32" s="32"/>
      <c r="Q32" s="32"/>
      <c r="R32" s="32"/>
      <c r="S32" s="32"/>
      <c r="T32" s="6"/>
    </row>
    <row r="33" spans="1:20" ht="15" customHeight="1" x14ac:dyDescent="0.2">
      <c r="A33" s="16" t="s">
        <v>9</v>
      </c>
      <c r="B33" s="22">
        <v>34167</v>
      </c>
      <c r="C33" s="22">
        <v>90273</v>
      </c>
      <c r="D33" s="22">
        <v>2061097</v>
      </c>
      <c r="E33" s="22">
        <v>968902</v>
      </c>
      <c r="F33" s="22">
        <v>522614</v>
      </c>
      <c r="G33" s="22">
        <v>331649</v>
      </c>
      <c r="H33" s="22">
        <v>10496</v>
      </c>
      <c r="I33" s="22">
        <v>42381</v>
      </c>
      <c r="J33" s="26">
        <v>0</v>
      </c>
      <c r="L33" s="32"/>
      <c r="M33" s="32"/>
      <c r="N33" s="32"/>
      <c r="O33" s="32"/>
      <c r="P33" s="32"/>
      <c r="Q33" s="32"/>
      <c r="R33" s="32"/>
      <c r="S33" s="32"/>
      <c r="T33" s="6"/>
    </row>
    <row r="34" spans="1:20" ht="15" customHeight="1" x14ac:dyDescent="0.2">
      <c r="A34" s="15" t="s">
        <v>6</v>
      </c>
      <c r="B34" s="22">
        <v>27187</v>
      </c>
      <c r="C34" s="22">
        <v>10952</v>
      </c>
      <c r="D34" s="22">
        <v>88539</v>
      </c>
      <c r="E34" s="22">
        <v>7985</v>
      </c>
      <c r="F34" s="22">
        <v>18622</v>
      </c>
      <c r="G34" s="22">
        <v>7163</v>
      </c>
      <c r="H34" s="22">
        <v>10496</v>
      </c>
      <c r="I34" s="22">
        <v>2998</v>
      </c>
      <c r="J34" s="26">
        <v>0</v>
      </c>
      <c r="L34" s="32"/>
      <c r="M34" s="32"/>
      <c r="N34" s="32"/>
      <c r="O34" s="32"/>
      <c r="P34" s="32"/>
      <c r="Q34" s="32"/>
      <c r="R34" s="32"/>
      <c r="S34" s="32"/>
      <c r="T34" s="6"/>
    </row>
    <row r="35" spans="1:20" ht="15" customHeight="1" x14ac:dyDescent="0.2">
      <c r="A35" s="15" t="s">
        <v>7</v>
      </c>
      <c r="B35" s="22">
        <v>1862</v>
      </c>
      <c r="C35" s="22">
        <v>18651</v>
      </c>
      <c r="D35" s="22">
        <v>1018147</v>
      </c>
      <c r="E35" s="22">
        <v>513167</v>
      </c>
      <c r="F35" s="22">
        <v>205270</v>
      </c>
      <c r="G35" s="22">
        <v>182997</v>
      </c>
      <c r="H35" s="22">
        <v>0</v>
      </c>
      <c r="I35" s="22">
        <v>9292</v>
      </c>
      <c r="J35" s="26">
        <v>0</v>
      </c>
      <c r="L35" s="32"/>
      <c r="M35" s="32"/>
      <c r="N35" s="32"/>
      <c r="O35" s="32"/>
      <c r="P35" s="32"/>
      <c r="Q35" s="32"/>
      <c r="R35" s="32"/>
      <c r="S35" s="32"/>
      <c r="T35" s="6"/>
    </row>
    <row r="36" spans="1:20" ht="15" customHeight="1" x14ac:dyDescent="0.2">
      <c r="A36" s="15" t="s">
        <v>88</v>
      </c>
      <c r="B36" s="22">
        <v>1694</v>
      </c>
      <c r="C36" s="22">
        <v>51612</v>
      </c>
      <c r="D36" s="22">
        <v>603045</v>
      </c>
      <c r="E36" s="22">
        <v>344525</v>
      </c>
      <c r="F36" s="22">
        <v>247253</v>
      </c>
      <c r="G36" s="22">
        <v>456</v>
      </c>
      <c r="H36" s="22">
        <v>0</v>
      </c>
      <c r="I36" s="22">
        <v>0</v>
      </c>
      <c r="J36" s="26">
        <v>0</v>
      </c>
      <c r="L36" s="32"/>
      <c r="M36" s="32"/>
      <c r="N36" s="32"/>
      <c r="O36" s="32"/>
      <c r="P36" s="32"/>
      <c r="Q36" s="32"/>
      <c r="R36" s="32"/>
      <c r="S36" s="32"/>
      <c r="T36" s="6"/>
    </row>
    <row r="37" spans="1:20" ht="15" customHeight="1" x14ac:dyDescent="0.2">
      <c r="A37" s="16" t="s">
        <v>10</v>
      </c>
      <c r="B37" s="22">
        <v>24504</v>
      </c>
      <c r="C37" s="22">
        <v>115116</v>
      </c>
      <c r="D37" s="22">
        <v>1636576</v>
      </c>
      <c r="E37" s="22">
        <v>1063676</v>
      </c>
      <c r="F37" s="22">
        <v>380242</v>
      </c>
      <c r="G37" s="22">
        <v>4969</v>
      </c>
      <c r="H37" s="22">
        <v>699</v>
      </c>
      <c r="I37" s="22">
        <v>12396</v>
      </c>
      <c r="J37" s="26">
        <v>0</v>
      </c>
      <c r="L37" s="32"/>
      <c r="M37" s="32"/>
      <c r="N37" s="32"/>
      <c r="O37" s="32"/>
      <c r="P37" s="32"/>
      <c r="Q37" s="32"/>
      <c r="R37" s="32"/>
      <c r="S37" s="32"/>
      <c r="T37" s="6"/>
    </row>
    <row r="38" spans="1:20" ht="15" customHeight="1" x14ac:dyDescent="0.2">
      <c r="A38" s="15" t="s">
        <v>6</v>
      </c>
      <c r="B38" s="22">
        <v>3507</v>
      </c>
      <c r="C38" s="22">
        <v>3803</v>
      </c>
      <c r="D38" s="22">
        <v>23827</v>
      </c>
      <c r="E38" s="22">
        <v>8526</v>
      </c>
      <c r="F38" s="22">
        <v>5230</v>
      </c>
      <c r="G38" s="22">
        <v>238</v>
      </c>
      <c r="H38" s="22">
        <v>699</v>
      </c>
      <c r="I38" s="22">
        <v>706</v>
      </c>
      <c r="J38" s="26">
        <v>0</v>
      </c>
      <c r="L38" s="32"/>
      <c r="M38" s="32"/>
      <c r="N38" s="32"/>
      <c r="O38" s="32"/>
      <c r="P38" s="32"/>
      <c r="Q38" s="32"/>
      <c r="R38" s="32"/>
      <c r="S38" s="32"/>
      <c r="T38" s="6"/>
    </row>
    <row r="39" spans="1:20" ht="15" customHeight="1" x14ac:dyDescent="0.2">
      <c r="A39" s="15" t="s">
        <v>7</v>
      </c>
      <c r="B39" s="22">
        <v>19226</v>
      </c>
      <c r="C39" s="22">
        <v>77105</v>
      </c>
      <c r="D39" s="22">
        <v>1284115</v>
      </c>
      <c r="E39" s="22">
        <v>867678</v>
      </c>
      <c r="F39" s="22">
        <v>264433</v>
      </c>
      <c r="G39" s="22">
        <v>3918</v>
      </c>
      <c r="H39" s="22">
        <v>0</v>
      </c>
      <c r="I39" s="22">
        <v>29</v>
      </c>
      <c r="J39" s="26">
        <v>0</v>
      </c>
      <c r="L39" s="32"/>
      <c r="M39" s="32"/>
      <c r="N39" s="32"/>
      <c r="O39" s="32"/>
      <c r="P39" s="32"/>
      <c r="Q39" s="32"/>
      <c r="R39" s="32"/>
      <c r="S39" s="32"/>
      <c r="T39" s="6"/>
    </row>
    <row r="40" spans="1:20" ht="15" customHeight="1" x14ac:dyDescent="0.2">
      <c r="A40" s="15" t="s">
        <v>88</v>
      </c>
      <c r="B40" s="22">
        <v>250</v>
      </c>
      <c r="C40" s="22">
        <v>17788</v>
      </c>
      <c r="D40" s="22">
        <v>190987</v>
      </c>
      <c r="E40" s="22">
        <v>128048</v>
      </c>
      <c r="F40" s="22">
        <v>57642</v>
      </c>
      <c r="G40" s="22">
        <v>11</v>
      </c>
      <c r="H40" s="22">
        <v>0</v>
      </c>
      <c r="I40" s="22">
        <v>0</v>
      </c>
      <c r="J40" s="26">
        <v>0</v>
      </c>
      <c r="L40" s="32"/>
      <c r="M40" s="32"/>
      <c r="N40" s="32"/>
      <c r="O40" s="32"/>
      <c r="P40" s="32"/>
      <c r="Q40" s="32"/>
      <c r="R40" s="32"/>
      <c r="S40" s="32"/>
      <c r="T40" s="6"/>
    </row>
    <row r="41" spans="1:20" ht="15" customHeight="1" x14ac:dyDescent="0.2">
      <c r="A41" s="15" t="s">
        <v>105</v>
      </c>
      <c r="B41" s="22">
        <v>2251</v>
      </c>
      <c r="C41" s="22">
        <v>1399</v>
      </c>
      <c r="D41" s="22">
        <v>215355</v>
      </c>
      <c r="E41" s="22">
        <v>54016</v>
      </c>
      <c r="F41" s="22">
        <v>15207</v>
      </c>
      <c r="G41" s="22">
        <v>329</v>
      </c>
      <c r="H41" s="22">
        <v>25</v>
      </c>
      <c r="I41" s="22">
        <v>194</v>
      </c>
      <c r="J41" s="26">
        <v>0</v>
      </c>
      <c r="L41" s="32"/>
      <c r="M41" s="32"/>
      <c r="N41" s="32"/>
      <c r="O41" s="32"/>
      <c r="P41" s="32"/>
      <c r="Q41" s="32"/>
      <c r="R41" s="32"/>
      <c r="S41" s="32"/>
      <c r="T41" s="6"/>
    </row>
    <row r="42" spans="1:20" ht="15" customHeight="1" x14ac:dyDescent="0.2">
      <c r="A42" s="15" t="s">
        <v>6</v>
      </c>
      <c r="B42" s="22">
        <v>1739</v>
      </c>
      <c r="C42" s="22">
        <v>514</v>
      </c>
      <c r="D42" s="22">
        <v>2906</v>
      </c>
      <c r="E42" s="22">
        <v>381</v>
      </c>
      <c r="F42" s="22">
        <v>906</v>
      </c>
      <c r="G42" s="22">
        <v>81</v>
      </c>
      <c r="H42" s="22">
        <v>25</v>
      </c>
      <c r="I42" s="22">
        <v>1</v>
      </c>
      <c r="J42" s="26">
        <v>0</v>
      </c>
      <c r="L42" s="32"/>
      <c r="M42" s="32"/>
      <c r="N42" s="32"/>
      <c r="O42" s="32"/>
      <c r="P42" s="32"/>
      <c r="Q42" s="32"/>
      <c r="R42" s="32"/>
      <c r="S42" s="32"/>
      <c r="T42" s="6"/>
    </row>
    <row r="43" spans="1:20" ht="15" customHeight="1" x14ac:dyDescent="0.2">
      <c r="A43" s="15" t="s">
        <v>7</v>
      </c>
      <c r="B43" s="22">
        <v>311</v>
      </c>
      <c r="C43" s="22">
        <v>866</v>
      </c>
      <c r="D43" s="22">
        <v>162283</v>
      </c>
      <c r="E43" s="22">
        <v>20228</v>
      </c>
      <c r="F43" s="22">
        <v>1874</v>
      </c>
      <c r="G43" s="22">
        <v>233</v>
      </c>
      <c r="H43" s="22">
        <v>0</v>
      </c>
      <c r="I43" s="22">
        <v>160</v>
      </c>
      <c r="J43" s="26">
        <v>0</v>
      </c>
      <c r="L43" s="32"/>
      <c r="M43" s="32"/>
      <c r="N43" s="32"/>
      <c r="O43" s="32"/>
      <c r="P43" s="32"/>
      <c r="Q43" s="32"/>
      <c r="R43" s="32"/>
      <c r="S43" s="32"/>
      <c r="T43" s="6"/>
    </row>
    <row r="44" spans="1:20" ht="15" customHeight="1" x14ac:dyDescent="0.2">
      <c r="A44" s="15" t="s">
        <v>88</v>
      </c>
      <c r="B44" s="22">
        <v>0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6">
        <v>0</v>
      </c>
      <c r="L44" s="32"/>
      <c r="M44" s="32"/>
      <c r="N44" s="32"/>
      <c r="O44" s="32"/>
      <c r="P44" s="32"/>
      <c r="Q44" s="32"/>
      <c r="R44" s="32"/>
      <c r="S44" s="32"/>
      <c r="T44" s="6"/>
    </row>
    <row r="45" spans="1:20" ht="15" customHeight="1" x14ac:dyDescent="0.2">
      <c r="A45" s="15" t="s">
        <v>11</v>
      </c>
      <c r="B45" s="22">
        <v>3954</v>
      </c>
      <c r="C45" s="22">
        <v>13613</v>
      </c>
      <c r="D45" s="22">
        <v>2904225</v>
      </c>
      <c r="E45" s="22">
        <v>552087</v>
      </c>
      <c r="F45" s="22">
        <v>35972</v>
      </c>
      <c r="G45" s="22">
        <v>7046</v>
      </c>
      <c r="H45" s="22">
        <v>1274</v>
      </c>
      <c r="I45" s="22">
        <v>258</v>
      </c>
      <c r="J45" s="26">
        <v>0</v>
      </c>
      <c r="L45" s="32"/>
      <c r="M45" s="32"/>
      <c r="N45" s="32"/>
      <c r="O45" s="32"/>
      <c r="P45" s="32"/>
      <c r="Q45" s="32"/>
      <c r="R45" s="32"/>
      <c r="S45" s="32"/>
      <c r="T45" s="6"/>
    </row>
    <row r="46" spans="1:20" ht="15" customHeight="1" x14ac:dyDescent="0.2">
      <c r="A46" s="15" t="s">
        <v>6</v>
      </c>
      <c r="B46" s="22">
        <v>1894</v>
      </c>
      <c r="C46" s="22">
        <v>806</v>
      </c>
      <c r="D46" s="22">
        <v>8095</v>
      </c>
      <c r="E46" s="22">
        <v>2186</v>
      </c>
      <c r="F46" s="22">
        <v>917</v>
      </c>
      <c r="G46" s="22">
        <v>603</v>
      </c>
      <c r="H46" s="22">
        <v>1274</v>
      </c>
      <c r="I46" s="22">
        <v>153</v>
      </c>
      <c r="J46" s="26">
        <v>0</v>
      </c>
      <c r="L46" s="32"/>
      <c r="M46" s="32"/>
      <c r="N46" s="32"/>
      <c r="O46" s="32"/>
      <c r="P46" s="32"/>
      <c r="Q46" s="32"/>
      <c r="R46" s="32"/>
      <c r="S46" s="32"/>
      <c r="T46" s="6"/>
    </row>
    <row r="47" spans="1:20" ht="15" customHeight="1" x14ac:dyDescent="0.2">
      <c r="A47" s="15" t="s">
        <v>7</v>
      </c>
      <c r="B47" s="22">
        <v>1637</v>
      </c>
      <c r="C47" s="22">
        <v>12029</v>
      </c>
      <c r="D47" s="22">
        <v>2883981</v>
      </c>
      <c r="E47" s="22">
        <v>542932</v>
      </c>
      <c r="F47" s="22">
        <v>33431</v>
      </c>
      <c r="G47" s="22">
        <v>4179</v>
      </c>
      <c r="H47" s="22">
        <v>0</v>
      </c>
      <c r="I47" s="22">
        <v>22</v>
      </c>
      <c r="J47" s="26">
        <v>0</v>
      </c>
      <c r="L47" s="32"/>
      <c r="M47" s="32"/>
      <c r="N47" s="32"/>
      <c r="O47" s="32"/>
      <c r="P47" s="32"/>
      <c r="Q47" s="32"/>
      <c r="R47" s="32"/>
      <c r="S47" s="32"/>
      <c r="T47" s="6"/>
    </row>
    <row r="48" spans="1:20" ht="15" customHeight="1" x14ac:dyDescent="0.2">
      <c r="A48" s="15" t="s">
        <v>88</v>
      </c>
      <c r="B48" s="22" t="s">
        <v>101</v>
      </c>
      <c r="C48" s="22" t="s">
        <v>101</v>
      </c>
      <c r="D48" s="22" t="s">
        <v>101</v>
      </c>
      <c r="E48" s="22">
        <v>0</v>
      </c>
      <c r="F48" s="22" t="s">
        <v>101</v>
      </c>
      <c r="G48" s="22">
        <v>0</v>
      </c>
      <c r="H48" s="22">
        <v>0</v>
      </c>
      <c r="I48" s="22">
        <v>0</v>
      </c>
      <c r="J48" s="26">
        <v>0</v>
      </c>
      <c r="L48" s="32"/>
      <c r="M48" s="32"/>
      <c r="N48" s="32"/>
      <c r="O48" s="32"/>
      <c r="P48" s="32"/>
      <c r="Q48" s="32"/>
      <c r="R48" s="32"/>
      <c r="S48" s="32"/>
      <c r="T48" s="6"/>
    </row>
    <row r="49" spans="1:20" ht="15" customHeight="1" x14ac:dyDescent="0.2">
      <c r="A49" s="16" t="s">
        <v>12</v>
      </c>
      <c r="B49" s="22">
        <v>47571</v>
      </c>
      <c r="C49" s="22">
        <v>442849</v>
      </c>
      <c r="D49" s="22">
        <v>16682554</v>
      </c>
      <c r="E49" s="22">
        <v>11079413</v>
      </c>
      <c r="F49" s="22">
        <v>4344072</v>
      </c>
      <c r="G49" s="22">
        <v>419184</v>
      </c>
      <c r="H49" s="22">
        <v>9480</v>
      </c>
      <c r="I49" s="22">
        <v>39142</v>
      </c>
      <c r="J49" s="26">
        <v>374</v>
      </c>
      <c r="L49" s="32"/>
      <c r="M49" s="32"/>
      <c r="N49" s="32"/>
      <c r="O49" s="32"/>
      <c r="P49" s="32"/>
      <c r="Q49" s="32"/>
      <c r="R49" s="32"/>
      <c r="S49" s="32"/>
      <c r="T49" s="6"/>
    </row>
    <row r="50" spans="1:20" ht="15" customHeight="1" x14ac:dyDescent="0.2">
      <c r="A50" s="15" t="s">
        <v>6</v>
      </c>
      <c r="B50" s="22">
        <v>38540</v>
      </c>
      <c r="C50" s="22">
        <v>11174</v>
      </c>
      <c r="D50" s="22">
        <v>99521</v>
      </c>
      <c r="E50" s="22">
        <v>8468</v>
      </c>
      <c r="F50" s="22">
        <v>35813</v>
      </c>
      <c r="G50" s="22">
        <v>8885</v>
      </c>
      <c r="H50" s="22">
        <v>9480</v>
      </c>
      <c r="I50" s="22">
        <v>11213</v>
      </c>
      <c r="J50" s="26">
        <v>0</v>
      </c>
      <c r="L50" s="32"/>
      <c r="M50" s="32"/>
      <c r="N50" s="32"/>
      <c r="O50" s="32"/>
      <c r="P50" s="32"/>
      <c r="Q50" s="32"/>
      <c r="R50" s="32"/>
      <c r="S50" s="32"/>
      <c r="T50" s="6"/>
    </row>
    <row r="51" spans="1:20" ht="15" customHeight="1" x14ac:dyDescent="0.2">
      <c r="A51" s="15" t="s">
        <v>7</v>
      </c>
      <c r="B51" s="22">
        <v>3204</v>
      </c>
      <c r="C51" s="22">
        <v>12348</v>
      </c>
      <c r="D51" s="22">
        <v>5811663</v>
      </c>
      <c r="E51" s="22">
        <v>4772265</v>
      </c>
      <c r="F51" s="22">
        <v>480858</v>
      </c>
      <c r="G51" s="22">
        <v>384830</v>
      </c>
      <c r="H51" s="22">
        <v>0</v>
      </c>
      <c r="I51" s="22">
        <v>25295</v>
      </c>
      <c r="J51" s="26">
        <v>374</v>
      </c>
      <c r="L51" s="32"/>
      <c r="M51" s="32"/>
      <c r="N51" s="32"/>
      <c r="O51" s="32"/>
      <c r="P51" s="32"/>
      <c r="Q51" s="32"/>
      <c r="R51" s="32"/>
      <c r="S51" s="32"/>
      <c r="T51" s="6"/>
    </row>
    <row r="52" spans="1:20" ht="15" customHeight="1" x14ac:dyDescent="0.2">
      <c r="A52" s="15" t="s">
        <v>88</v>
      </c>
      <c r="B52" s="22">
        <v>355</v>
      </c>
      <c r="C52" s="22">
        <v>415649</v>
      </c>
      <c r="D52" s="22">
        <v>7453796</v>
      </c>
      <c r="E52" s="22">
        <v>4166431</v>
      </c>
      <c r="F52" s="22">
        <v>2933148</v>
      </c>
      <c r="G52" s="22">
        <v>71</v>
      </c>
      <c r="H52" s="22">
        <v>0</v>
      </c>
      <c r="I52" s="22">
        <v>0</v>
      </c>
      <c r="J52" s="26">
        <v>0</v>
      </c>
      <c r="L52" s="32"/>
      <c r="M52" s="32"/>
      <c r="N52" s="32"/>
      <c r="O52" s="32"/>
      <c r="P52" s="32"/>
      <c r="Q52" s="32"/>
      <c r="R52" s="32"/>
      <c r="S52" s="32"/>
      <c r="T52" s="6"/>
    </row>
    <row r="53" spans="1:20" ht="15" customHeight="1" x14ac:dyDescent="0.2">
      <c r="A53" s="16" t="s">
        <v>13</v>
      </c>
      <c r="B53" s="22">
        <v>24901</v>
      </c>
      <c r="C53" s="22">
        <v>434145</v>
      </c>
      <c r="D53" s="22">
        <v>13571601</v>
      </c>
      <c r="E53" s="22">
        <v>10750891</v>
      </c>
      <c r="F53" s="22">
        <v>1353795</v>
      </c>
      <c r="G53" s="22">
        <v>40949</v>
      </c>
      <c r="H53" s="22">
        <v>1795</v>
      </c>
      <c r="I53" s="22">
        <v>12064</v>
      </c>
      <c r="J53" s="26">
        <v>0</v>
      </c>
      <c r="L53" s="32"/>
      <c r="M53" s="32"/>
      <c r="N53" s="32"/>
      <c r="O53" s="32"/>
      <c r="P53" s="32"/>
      <c r="Q53" s="32"/>
      <c r="R53" s="32"/>
      <c r="S53" s="32"/>
      <c r="T53" s="6"/>
    </row>
    <row r="54" spans="1:20" ht="15" customHeight="1" x14ac:dyDescent="0.2">
      <c r="A54" s="15" t="s">
        <v>6</v>
      </c>
      <c r="B54" s="22">
        <v>6810</v>
      </c>
      <c r="C54" s="22">
        <v>6168</v>
      </c>
      <c r="D54" s="22">
        <v>42607</v>
      </c>
      <c r="E54" s="22">
        <v>16821</v>
      </c>
      <c r="F54" s="22">
        <v>15180</v>
      </c>
      <c r="G54" s="22">
        <v>639</v>
      </c>
      <c r="H54" s="22">
        <v>1795</v>
      </c>
      <c r="I54" s="22">
        <v>1614</v>
      </c>
      <c r="J54" s="26">
        <v>0</v>
      </c>
      <c r="L54" s="32"/>
      <c r="M54" s="32"/>
      <c r="N54" s="32"/>
      <c r="O54" s="32"/>
      <c r="P54" s="32"/>
      <c r="Q54" s="32"/>
      <c r="R54" s="32"/>
      <c r="S54" s="32"/>
      <c r="T54" s="6"/>
    </row>
    <row r="55" spans="1:20" ht="15" customHeight="1" x14ac:dyDescent="0.2">
      <c r="A55" s="15" t="s">
        <v>7</v>
      </c>
      <c r="B55" s="22">
        <v>14782</v>
      </c>
      <c r="C55" s="22">
        <v>371432</v>
      </c>
      <c r="D55" s="22">
        <v>11621653</v>
      </c>
      <c r="E55" s="22">
        <v>10149988</v>
      </c>
      <c r="F55" s="22">
        <v>1049905</v>
      </c>
      <c r="G55" s="22">
        <v>34445</v>
      </c>
      <c r="H55" s="22">
        <v>0</v>
      </c>
      <c r="I55" s="22">
        <v>9014</v>
      </c>
      <c r="J55" s="26">
        <v>0</v>
      </c>
      <c r="L55" s="32"/>
      <c r="M55" s="32"/>
      <c r="N55" s="32"/>
      <c r="O55" s="32"/>
      <c r="P55" s="32"/>
      <c r="Q55" s="32"/>
      <c r="R55" s="32"/>
      <c r="S55" s="32"/>
      <c r="T55" s="6"/>
    </row>
    <row r="56" spans="1:20" ht="15" customHeight="1" x14ac:dyDescent="0.2">
      <c r="A56" s="15" t="s">
        <v>88</v>
      </c>
      <c r="B56" s="22">
        <v>33</v>
      </c>
      <c r="C56" s="22">
        <v>1385</v>
      </c>
      <c r="D56" s="22">
        <v>101740</v>
      </c>
      <c r="E56" s="22">
        <v>35259</v>
      </c>
      <c r="F56" s="22">
        <v>8581</v>
      </c>
      <c r="G56" s="22">
        <v>0</v>
      </c>
      <c r="H56" s="22">
        <v>0</v>
      </c>
      <c r="I56" s="22">
        <v>0</v>
      </c>
      <c r="J56" s="26">
        <v>0</v>
      </c>
      <c r="L56" s="32"/>
      <c r="M56" s="32"/>
      <c r="N56" s="32"/>
      <c r="O56" s="32"/>
      <c r="P56" s="32"/>
      <c r="Q56" s="32"/>
      <c r="R56" s="32"/>
      <c r="S56" s="32"/>
      <c r="T56" s="6"/>
    </row>
    <row r="57" spans="1:20" ht="15" customHeight="1" x14ac:dyDescent="0.2">
      <c r="A57" s="16" t="s">
        <v>14</v>
      </c>
      <c r="B57" s="22">
        <v>108321</v>
      </c>
      <c r="C57" s="22">
        <v>81579</v>
      </c>
      <c r="D57" s="22">
        <v>6919348</v>
      </c>
      <c r="E57" s="22">
        <v>6509110</v>
      </c>
      <c r="F57" s="22">
        <v>103427</v>
      </c>
      <c r="G57" s="22">
        <v>91797</v>
      </c>
      <c r="H57" s="22">
        <v>5782</v>
      </c>
      <c r="I57" s="22">
        <v>18670</v>
      </c>
      <c r="J57" s="26">
        <v>19</v>
      </c>
      <c r="L57" s="32"/>
      <c r="M57" s="32"/>
      <c r="N57" s="32"/>
      <c r="O57" s="32"/>
      <c r="P57" s="32"/>
      <c r="Q57" s="32"/>
      <c r="R57" s="32"/>
      <c r="S57" s="32"/>
      <c r="T57" s="6"/>
    </row>
    <row r="58" spans="1:20" ht="15" customHeight="1" x14ac:dyDescent="0.2">
      <c r="A58" s="15" t="s">
        <v>6</v>
      </c>
      <c r="B58" s="22">
        <v>91735</v>
      </c>
      <c r="C58" s="22">
        <v>32435</v>
      </c>
      <c r="D58" s="22">
        <v>197006</v>
      </c>
      <c r="E58" s="22">
        <v>53763</v>
      </c>
      <c r="F58" s="22">
        <v>47153</v>
      </c>
      <c r="G58" s="22">
        <v>21411</v>
      </c>
      <c r="H58" s="22">
        <v>5782</v>
      </c>
      <c r="I58" s="22">
        <v>12334</v>
      </c>
      <c r="J58" s="26">
        <v>0</v>
      </c>
      <c r="L58" s="32"/>
      <c r="M58" s="32"/>
      <c r="N58" s="32"/>
      <c r="O58" s="32"/>
      <c r="P58" s="32"/>
      <c r="Q58" s="32"/>
      <c r="R58" s="32"/>
      <c r="S58" s="32"/>
      <c r="T58" s="6"/>
    </row>
    <row r="59" spans="1:20" ht="15" customHeight="1" x14ac:dyDescent="0.2">
      <c r="A59" s="15" t="s">
        <v>7</v>
      </c>
      <c r="B59" s="22">
        <v>3975</v>
      </c>
      <c r="C59" s="22">
        <v>41469</v>
      </c>
      <c r="D59" s="22">
        <v>444958</v>
      </c>
      <c r="E59" s="22">
        <v>246617</v>
      </c>
      <c r="F59" s="22">
        <v>51530</v>
      </c>
      <c r="G59" s="22">
        <v>35688</v>
      </c>
      <c r="H59" s="22">
        <v>0</v>
      </c>
      <c r="I59" s="22">
        <v>1974</v>
      </c>
      <c r="J59" s="26">
        <v>19</v>
      </c>
      <c r="L59" s="32"/>
      <c r="M59" s="32"/>
      <c r="N59" s="32"/>
      <c r="O59" s="32"/>
      <c r="P59" s="32"/>
      <c r="Q59" s="32"/>
      <c r="R59" s="32"/>
      <c r="S59" s="32"/>
      <c r="T59" s="6"/>
    </row>
    <row r="60" spans="1:20" ht="15" customHeight="1" x14ac:dyDescent="0.2">
      <c r="A60" s="15" t="s">
        <v>88</v>
      </c>
      <c r="B60" s="22">
        <v>18</v>
      </c>
      <c r="C60" s="22">
        <v>5</v>
      </c>
      <c r="D60" s="22">
        <v>107</v>
      </c>
      <c r="E60" s="22">
        <v>89</v>
      </c>
      <c r="F60" s="22">
        <v>14</v>
      </c>
      <c r="G60" s="22">
        <v>0</v>
      </c>
      <c r="H60" s="22">
        <v>0</v>
      </c>
      <c r="I60" s="22">
        <v>0</v>
      </c>
      <c r="J60" s="26">
        <v>0</v>
      </c>
      <c r="L60" s="32"/>
      <c r="M60" s="32"/>
      <c r="N60" s="32"/>
      <c r="O60" s="32"/>
      <c r="P60" s="32"/>
      <c r="Q60" s="32"/>
      <c r="R60" s="32"/>
      <c r="S60" s="32"/>
      <c r="T60" s="6"/>
    </row>
    <row r="61" spans="1:20" ht="15" customHeight="1" x14ac:dyDescent="0.2">
      <c r="A61" s="16" t="s">
        <v>15</v>
      </c>
      <c r="B61" s="22">
        <v>104376</v>
      </c>
      <c r="C61" s="22">
        <v>313819</v>
      </c>
      <c r="D61" s="22">
        <v>5086298</v>
      </c>
      <c r="E61" s="22">
        <v>3276668</v>
      </c>
      <c r="F61" s="22">
        <v>935395</v>
      </c>
      <c r="G61" s="22">
        <v>32634</v>
      </c>
      <c r="H61" s="22">
        <v>253</v>
      </c>
      <c r="I61" s="22">
        <v>122</v>
      </c>
      <c r="J61" s="26">
        <v>0</v>
      </c>
      <c r="L61" s="32"/>
      <c r="M61" s="32"/>
      <c r="N61" s="32"/>
      <c r="O61" s="32"/>
      <c r="P61" s="32"/>
      <c r="Q61" s="32"/>
      <c r="R61" s="32"/>
      <c r="S61" s="32"/>
      <c r="T61" s="6"/>
    </row>
    <row r="62" spans="1:20" ht="15" customHeight="1" x14ac:dyDescent="0.2">
      <c r="A62" s="15" t="s">
        <v>6</v>
      </c>
      <c r="B62" s="22">
        <v>935</v>
      </c>
      <c r="C62" s="22">
        <v>588</v>
      </c>
      <c r="D62" s="22">
        <v>6867</v>
      </c>
      <c r="E62" s="22">
        <v>4804</v>
      </c>
      <c r="F62" s="22">
        <v>800</v>
      </c>
      <c r="G62" s="22">
        <v>80</v>
      </c>
      <c r="H62" s="22">
        <v>253</v>
      </c>
      <c r="I62" s="22">
        <v>7</v>
      </c>
      <c r="J62" s="26">
        <v>0</v>
      </c>
      <c r="L62" s="32"/>
      <c r="M62" s="32"/>
      <c r="N62" s="32"/>
      <c r="O62" s="32"/>
      <c r="P62" s="32"/>
      <c r="Q62" s="32"/>
      <c r="R62" s="32"/>
      <c r="S62" s="32"/>
      <c r="T62" s="6"/>
    </row>
    <row r="63" spans="1:20" ht="15" customHeight="1" x14ac:dyDescent="0.2">
      <c r="A63" s="15" t="s">
        <v>7</v>
      </c>
      <c r="B63" s="22">
        <v>101501</v>
      </c>
      <c r="C63" s="22">
        <v>306188</v>
      </c>
      <c r="D63" s="22">
        <v>4976747</v>
      </c>
      <c r="E63" s="22">
        <v>3209635</v>
      </c>
      <c r="F63" s="22">
        <v>917297</v>
      </c>
      <c r="G63" s="22">
        <v>28043</v>
      </c>
      <c r="H63" s="22">
        <v>0</v>
      </c>
      <c r="I63" s="22">
        <v>115</v>
      </c>
      <c r="J63" s="26">
        <v>0</v>
      </c>
      <c r="L63" s="32"/>
      <c r="M63" s="32"/>
      <c r="N63" s="32"/>
      <c r="O63" s="32"/>
      <c r="P63" s="32"/>
      <c r="Q63" s="32"/>
      <c r="R63" s="32"/>
      <c r="S63" s="32"/>
      <c r="T63" s="6"/>
    </row>
    <row r="64" spans="1:20" ht="15" customHeight="1" x14ac:dyDescent="0.2">
      <c r="A64" s="15" t="s">
        <v>88</v>
      </c>
      <c r="B64" s="22">
        <v>6</v>
      </c>
      <c r="C64" s="22">
        <v>45</v>
      </c>
      <c r="D64" s="22">
        <v>862</v>
      </c>
      <c r="E64" s="22" t="s">
        <v>101</v>
      </c>
      <c r="F64" s="22" t="s">
        <v>101</v>
      </c>
      <c r="G64" s="22" t="s">
        <v>101</v>
      </c>
      <c r="H64" s="22">
        <v>0</v>
      </c>
      <c r="I64" s="22">
        <v>0</v>
      </c>
      <c r="J64" s="26">
        <v>0</v>
      </c>
      <c r="L64" s="32"/>
      <c r="M64" s="32"/>
      <c r="N64" s="32"/>
      <c r="O64" s="32"/>
      <c r="P64" s="32"/>
      <c r="Q64" s="32"/>
      <c r="R64" s="32"/>
      <c r="S64" s="32"/>
      <c r="T64" s="6"/>
    </row>
    <row r="65" spans="1:20" ht="15" customHeight="1" x14ac:dyDescent="0.2">
      <c r="A65" s="15" t="s">
        <v>81</v>
      </c>
      <c r="B65" s="22">
        <v>984</v>
      </c>
      <c r="C65" s="22">
        <v>494</v>
      </c>
      <c r="D65" s="22">
        <v>104997</v>
      </c>
      <c r="E65" s="22">
        <v>44203</v>
      </c>
      <c r="F65" s="22">
        <v>49737</v>
      </c>
      <c r="G65" s="22">
        <v>32</v>
      </c>
      <c r="H65" s="22">
        <v>0</v>
      </c>
      <c r="I65" s="22">
        <v>0</v>
      </c>
      <c r="J65" s="26">
        <v>0</v>
      </c>
      <c r="L65" s="32"/>
      <c r="M65" s="32"/>
      <c r="N65" s="32"/>
      <c r="O65" s="32"/>
      <c r="P65" s="32"/>
      <c r="Q65" s="32"/>
      <c r="R65" s="32"/>
      <c r="S65" s="32"/>
      <c r="T65" s="6"/>
    </row>
    <row r="66" spans="1:20" ht="15" customHeight="1" x14ac:dyDescent="0.2">
      <c r="A66" s="15" t="s">
        <v>6</v>
      </c>
      <c r="B66" s="22">
        <v>658</v>
      </c>
      <c r="C66" s="22">
        <v>63</v>
      </c>
      <c r="D66" s="22">
        <v>346</v>
      </c>
      <c r="E66" s="22">
        <v>47</v>
      </c>
      <c r="F66" s="22">
        <v>133</v>
      </c>
      <c r="G66" s="22">
        <v>19</v>
      </c>
      <c r="H66" s="22">
        <v>0</v>
      </c>
      <c r="I66" s="22">
        <v>0</v>
      </c>
      <c r="J66" s="26">
        <v>0</v>
      </c>
      <c r="L66" s="32"/>
      <c r="M66" s="32"/>
      <c r="N66" s="32"/>
      <c r="O66" s="32"/>
      <c r="P66" s="32"/>
      <c r="Q66" s="32"/>
      <c r="R66" s="32"/>
      <c r="S66" s="32"/>
      <c r="T66" s="6"/>
    </row>
    <row r="67" spans="1:20" ht="15" customHeight="1" x14ac:dyDescent="0.2">
      <c r="A67" s="15" t="s">
        <v>7</v>
      </c>
      <c r="B67" s="22">
        <v>19</v>
      </c>
      <c r="C67" s="22">
        <v>85</v>
      </c>
      <c r="D67" s="22">
        <v>376</v>
      </c>
      <c r="E67" s="22">
        <v>48</v>
      </c>
      <c r="F67" s="22">
        <v>107</v>
      </c>
      <c r="G67" s="22">
        <v>0</v>
      </c>
      <c r="H67" s="22">
        <v>0</v>
      </c>
      <c r="I67" s="22">
        <v>0</v>
      </c>
      <c r="J67" s="26">
        <v>0</v>
      </c>
      <c r="L67" s="32"/>
      <c r="M67" s="32"/>
      <c r="N67" s="32"/>
      <c r="O67" s="32"/>
      <c r="P67" s="32"/>
      <c r="Q67" s="32"/>
      <c r="R67" s="32"/>
      <c r="S67" s="32"/>
      <c r="T67" s="6"/>
    </row>
    <row r="68" spans="1:20" ht="15" customHeight="1" x14ac:dyDescent="0.2">
      <c r="A68" s="15" t="s">
        <v>88</v>
      </c>
      <c r="B68" s="22">
        <v>0</v>
      </c>
      <c r="C68" s="22">
        <v>0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6">
        <v>0</v>
      </c>
      <c r="L68" s="32"/>
      <c r="M68" s="32"/>
      <c r="N68" s="32"/>
      <c r="O68" s="32"/>
      <c r="P68" s="32"/>
      <c r="Q68" s="32"/>
      <c r="R68" s="32"/>
      <c r="S68" s="32"/>
      <c r="T68" s="6"/>
    </row>
    <row r="69" spans="1:20" ht="15" customHeight="1" x14ac:dyDescent="0.2">
      <c r="A69" s="16" t="s">
        <v>16</v>
      </c>
      <c r="B69" s="22">
        <v>725547</v>
      </c>
      <c r="C69" s="22">
        <v>2183693</v>
      </c>
      <c r="D69" s="22">
        <v>87094260</v>
      </c>
      <c r="E69" s="22">
        <v>32279709</v>
      </c>
      <c r="F69" s="22">
        <v>23286199</v>
      </c>
      <c r="G69" s="22">
        <v>3013714</v>
      </c>
      <c r="H69" s="22">
        <v>442136</v>
      </c>
      <c r="I69" s="22">
        <v>1229805</v>
      </c>
      <c r="J69" s="26">
        <v>6438177</v>
      </c>
      <c r="L69" s="32"/>
      <c r="M69" s="32"/>
      <c r="N69" s="32"/>
      <c r="O69" s="32"/>
      <c r="P69" s="32"/>
      <c r="Q69" s="32"/>
      <c r="R69" s="32"/>
      <c r="S69" s="32"/>
      <c r="T69" s="6"/>
    </row>
    <row r="70" spans="1:20" ht="15" customHeight="1" x14ac:dyDescent="0.2">
      <c r="A70" s="15" t="s">
        <v>6</v>
      </c>
      <c r="B70" s="22">
        <v>541952</v>
      </c>
      <c r="C70" s="22">
        <v>182770</v>
      </c>
      <c r="D70" s="22">
        <v>1817506</v>
      </c>
      <c r="E70" s="22">
        <v>62269</v>
      </c>
      <c r="F70" s="22">
        <v>198198</v>
      </c>
      <c r="G70" s="22">
        <v>192534</v>
      </c>
      <c r="H70" s="22">
        <v>442136</v>
      </c>
      <c r="I70" s="22">
        <v>101840</v>
      </c>
      <c r="J70" s="26">
        <v>0</v>
      </c>
      <c r="L70" s="32"/>
      <c r="M70" s="32"/>
      <c r="N70" s="32"/>
      <c r="O70" s="32"/>
      <c r="P70" s="32"/>
      <c r="Q70" s="32"/>
      <c r="R70" s="32"/>
      <c r="S70" s="32"/>
      <c r="T70" s="6"/>
    </row>
    <row r="71" spans="1:20" ht="15" customHeight="1" x14ac:dyDescent="0.2">
      <c r="A71" s="15" t="s">
        <v>7</v>
      </c>
      <c r="B71" s="22">
        <v>80154</v>
      </c>
      <c r="C71" s="22">
        <v>770819</v>
      </c>
      <c r="D71" s="22">
        <v>51058658</v>
      </c>
      <c r="E71" s="22">
        <v>20999512</v>
      </c>
      <c r="F71" s="22">
        <v>8636259</v>
      </c>
      <c r="G71" s="22">
        <v>2129318</v>
      </c>
      <c r="H71" s="22">
        <v>0</v>
      </c>
      <c r="I71" s="22">
        <v>1046998</v>
      </c>
      <c r="J71" s="26">
        <v>6322434</v>
      </c>
      <c r="L71" s="32"/>
      <c r="M71" s="32"/>
      <c r="N71" s="32"/>
      <c r="O71" s="32"/>
      <c r="P71" s="32"/>
      <c r="Q71" s="32"/>
      <c r="R71" s="32"/>
      <c r="S71" s="32"/>
      <c r="T71" s="6"/>
    </row>
    <row r="72" spans="1:20" ht="15" customHeight="1" x14ac:dyDescent="0.2">
      <c r="A72" s="15" t="s">
        <v>88</v>
      </c>
      <c r="B72" s="22">
        <v>836</v>
      </c>
      <c r="C72" s="22">
        <v>1067897</v>
      </c>
      <c r="D72" s="22">
        <v>15330150</v>
      </c>
      <c r="E72" s="22">
        <v>5002929</v>
      </c>
      <c r="F72" s="22">
        <v>9115445</v>
      </c>
      <c r="G72" s="22">
        <v>4602</v>
      </c>
      <c r="H72" s="22">
        <v>0</v>
      </c>
      <c r="I72" s="22">
        <v>0</v>
      </c>
      <c r="J72" s="26">
        <v>0</v>
      </c>
      <c r="L72" s="32"/>
      <c r="M72" s="32"/>
      <c r="N72" s="32"/>
      <c r="O72" s="32"/>
      <c r="P72" s="32"/>
      <c r="Q72" s="32"/>
      <c r="R72" s="32"/>
      <c r="S72" s="32"/>
      <c r="T72" s="6"/>
    </row>
    <row r="73" spans="1:20" ht="15" customHeight="1" x14ac:dyDescent="0.2">
      <c r="A73" s="16" t="s">
        <v>17</v>
      </c>
      <c r="B73" s="22">
        <v>169813</v>
      </c>
      <c r="C73" s="22">
        <v>3070599</v>
      </c>
      <c r="D73" s="22">
        <v>153409200</v>
      </c>
      <c r="E73" s="22">
        <v>113375359</v>
      </c>
      <c r="F73" s="22">
        <v>10968161</v>
      </c>
      <c r="G73" s="22">
        <v>98928</v>
      </c>
      <c r="H73" s="22">
        <v>791</v>
      </c>
      <c r="I73" s="22">
        <v>49318</v>
      </c>
      <c r="J73" s="26">
        <v>16539883</v>
      </c>
      <c r="L73" s="32"/>
      <c r="M73" s="32"/>
      <c r="N73" s="32"/>
      <c r="O73" s="32"/>
      <c r="P73" s="32"/>
      <c r="Q73" s="32"/>
      <c r="R73" s="32"/>
      <c r="S73" s="32"/>
      <c r="T73" s="6"/>
    </row>
    <row r="74" spans="1:20" ht="15" customHeight="1" x14ac:dyDescent="0.2">
      <c r="A74" s="15" t="s">
        <v>6</v>
      </c>
      <c r="B74" s="22">
        <v>2273</v>
      </c>
      <c r="C74" s="22">
        <v>3312</v>
      </c>
      <c r="D74" s="22">
        <v>51602</v>
      </c>
      <c r="E74" s="22">
        <v>39272</v>
      </c>
      <c r="F74" s="22">
        <v>9314</v>
      </c>
      <c r="G74" s="22">
        <v>307</v>
      </c>
      <c r="H74" s="22">
        <v>791</v>
      </c>
      <c r="I74" s="22">
        <v>29</v>
      </c>
      <c r="J74" s="26">
        <v>0</v>
      </c>
      <c r="L74" s="32"/>
      <c r="M74" s="32"/>
      <c r="N74" s="32"/>
      <c r="O74" s="32"/>
      <c r="P74" s="32"/>
      <c r="Q74" s="32"/>
      <c r="R74" s="32"/>
      <c r="S74" s="32"/>
      <c r="T74" s="6"/>
    </row>
    <row r="75" spans="1:20" ht="15" customHeight="1" x14ac:dyDescent="0.2">
      <c r="A75" s="15" t="s">
        <v>7</v>
      </c>
      <c r="B75" s="22">
        <v>157267</v>
      </c>
      <c r="C75" s="22">
        <v>2993325</v>
      </c>
      <c r="D75" s="22">
        <v>144604406</v>
      </c>
      <c r="E75" s="22">
        <v>107851364</v>
      </c>
      <c r="F75" s="22">
        <v>8816760</v>
      </c>
      <c r="G75" s="22">
        <v>82790</v>
      </c>
      <c r="H75" s="22">
        <v>0</v>
      </c>
      <c r="I75" s="22">
        <v>2469</v>
      </c>
      <c r="J75" s="26">
        <v>16538959</v>
      </c>
      <c r="L75" s="32"/>
      <c r="M75" s="32"/>
      <c r="N75" s="32"/>
      <c r="O75" s="32"/>
      <c r="P75" s="32"/>
      <c r="Q75" s="32"/>
      <c r="R75" s="32"/>
      <c r="S75" s="32"/>
      <c r="T75" s="6"/>
    </row>
    <row r="76" spans="1:20" ht="15" customHeight="1" x14ac:dyDescent="0.2">
      <c r="A76" s="15" t="s">
        <v>88</v>
      </c>
      <c r="B76" s="22">
        <v>100</v>
      </c>
      <c r="C76" s="22">
        <v>3668</v>
      </c>
      <c r="D76" s="22">
        <v>96853</v>
      </c>
      <c r="E76" s="22">
        <v>80501</v>
      </c>
      <c r="F76" s="22">
        <v>16076</v>
      </c>
      <c r="G76" s="22">
        <v>0</v>
      </c>
      <c r="H76" s="22">
        <v>0</v>
      </c>
      <c r="I76" s="22">
        <v>0</v>
      </c>
      <c r="J76" s="26">
        <v>0</v>
      </c>
      <c r="L76" s="32"/>
      <c r="M76" s="32"/>
      <c r="N76" s="32"/>
      <c r="O76" s="32"/>
      <c r="P76" s="32"/>
      <c r="Q76" s="32"/>
      <c r="R76" s="32"/>
      <c r="S76" s="32"/>
      <c r="T76" s="6"/>
    </row>
    <row r="77" spans="1:20" ht="15" customHeight="1" x14ac:dyDescent="0.2">
      <c r="A77" s="16" t="s">
        <v>18</v>
      </c>
      <c r="B77" s="22">
        <v>30065</v>
      </c>
      <c r="C77" s="22">
        <v>164484</v>
      </c>
      <c r="D77" s="22">
        <v>1714943</v>
      </c>
      <c r="E77" s="22">
        <v>822485</v>
      </c>
      <c r="F77" s="22">
        <v>532550</v>
      </c>
      <c r="G77" s="22">
        <v>12488</v>
      </c>
      <c r="H77" s="22">
        <v>8470</v>
      </c>
      <c r="I77" s="22">
        <v>3113</v>
      </c>
      <c r="J77" s="26">
        <v>12944</v>
      </c>
      <c r="L77" s="32"/>
      <c r="M77" s="32"/>
      <c r="N77" s="32"/>
      <c r="O77" s="32"/>
      <c r="P77" s="32"/>
      <c r="Q77" s="32"/>
      <c r="R77" s="32"/>
      <c r="S77" s="32"/>
      <c r="T77" s="6"/>
    </row>
    <row r="78" spans="1:20" ht="15" customHeight="1" x14ac:dyDescent="0.2">
      <c r="A78" s="15" t="s">
        <v>6</v>
      </c>
      <c r="B78" s="22">
        <v>20038</v>
      </c>
      <c r="C78" s="22">
        <v>9441</v>
      </c>
      <c r="D78" s="22">
        <v>65970</v>
      </c>
      <c r="E78" s="22">
        <v>27271</v>
      </c>
      <c r="F78" s="22">
        <v>12982</v>
      </c>
      <c r="G78" s="22">
        <v>1310</v>
      </c>
      <c r="H78" s="22">
        <v>8470</v>
      </c>
      <c r="I78" s="22">
        <v>1648</v>
      </c>
      <c r="J78" s="26">
        <v>0</v>
      </c>
      <c r="L78" s="32"/>
      <c r="M78" s="32"/>
      <c r="N78" s="32"/>
      <c r="O78" s="32"/>
      <c r="P78" s="32"/>
      <c r="Q78" s="32"/>
      <c r="R78" s="32"/>
      <c r="S78" s="32"/>
      <c r="T78" s="6"/>
    </row>
    <row r="79" spans="1:20" ht="15" customHeight="1" x14ac:dyDescent="0.2">
      <c r="A79" s="15" t="s">
        <v>7</v>
      </c>
      <c r="B79" s="22">
        <v>7868</v>
      </c>
      <c r="C79" s="22">
        <v>131572</v>
      </c>
      <c r="D79" s="22">
        <v>949705</v>
      </c>
      <c r="E79" s="22">
        <v>244820</v>
      </c>
      <c r="F79" s="22">
        <v>426965</v>
      </c>
      <c r="G79" s="22">
        <v>2269</v>
      </c>
      <c r="H79" s="22">
        <v>0</v>
      </c>
      <c r="I79" s="22">
        <v>726</v>
      </c>
      <c r="J79" s="26">
        <v>12944</v>
      </c>
      <c r="L79" s="32"/>
      <c r="M79" s="32"/>
      <c r="N79" s="32"/>
      <c r="O79" s="32"/>
      <c r="P79" s="32"/>
      <c r="Q79" s="32"/>
      <c r="R79" s="32"/>
      <c r="S79" s="32"/>
      <c r="T79" s="6"/>
    </row>
    <row r="80" spans="1:20" ht="15" customHeight="1" x14ac:dyDescent="0.2">
      <c r="A80" s="15" t="s">
        <v>88</v>
      </c>
      <c r="B80" s="22">
        <v>4</v>
      </c>
      <c r="C80" s="22">
        <v>0</v>
      </c>
      <c r="D80" s="22">
        <v>3</v>
      </c>
      <c r="E80" s="22" t="s">
        <v>101</v>
      </c>
      <c r="F80" s="22" t="s">
        <v>101</v>
      </c>
      <c r="G80" s="22" t="s">
        <v>101</v>
      </c>
      <c r="H80" s="22">
        <v>0</v>
      </c>
      <c r="I80" s="22">
        <v>0</v>
      </c>
      <c r="J80" s="26">
        <v>0</v>
      </c>
      <c r="L80" s="32"/>
      <c r="M80" s="32"/>
      <c r="N80" s="32"/>
      <c r="O80" s="32"/>
      <c r="P80" s="32"/>
      <c r="Q80" s="32"/>
      <c r="R80" s="32"/>
      <c r="S80" s="32"/>
      <c r="T80" s="6"/>
    </row>
    <row r="81" spans="1:20" ht="15" customHeight="1" x14ac:dyDescent="0.2">
      <c r="A81" s="16" t="s">
        <v>19</v>
      </c>
      <c r="B81" s="22">
        <v>426289</v>
      </c>
      <c r="C81" s="22">
        <v>138291</v>
      </c>
      <c r="D81" s="22">
        <v>48252331</v>
      </c>
      <c r="E81" s="22">
        <v>40797947</v>
      </c>
      <c r="F81" s="22">
        <v>3510223</v>
      </c>
      <c r="G81" s="22">
        <v>1782307</v>
      </c>
      <c r="H81" s="22">
        <v>529</v>
      </c>
      <c r="I81" s="22">
        <v>487420</v>
      </c>
      <c r="J81" s="26">
        <v>21501</v>
      </c>
      <c r="L81" s="32"/>
      <c r="M81" s="32"/>
      <c r="N81" s="32"/>
      <c r="O81" s="32"/>
      <c r="P81" s="32"/>
      <c r="Q81" s="32"/>
      <c r="R81" s="32"/>
      <c r="S81" s="32"/>
      <c r="T81" s="6"/>
    </row>
    <row r="82" spans="1:20" ht="15" customHeight="1" x14ac:dyDescent="0.2">
      <c r="A82" s="15" t="s">
        <v>6</v>
      </c>
      <c r="B82" s="22">
        <v>403762</v>
      </c>
      <c r="C82" s="22">
        <v>38861</v>
      </c>
      <c r="D82" s="22">
        <v>1100777</v>
      </c>
      <c r="E82" s="22">
        <v>253131</v>
      </c>
      <c r="F82" s="22">
        <v>116844</v>
      </c>
      <c r="G82" s="22">
        <v>38861</v>
      </c>
      <c r="H82" s="22">
        <v>529</v>
      </c>
      <c r="I82" s="22">
        <v>459620</v>
      </c>
      <c r="J82" s="26">
        <v>0</v>
      </c>
      <c r="L82" s="32"/>
      <c r="M82" s="32"/>
      <c r="N82" s="32"/>
      <c r="O82" s="32"/>
      <c r="P82" s="32"/>
      <c r="Q82" s="32"/>
      <c r="R82" s="32"/>
      <c r="S82" s="32"/>
      <c r="T82" s="6"/>
    </row>
    <row r="83" spans="1:20" ht="15" customHeight="1" x14ac:dyDescent="0.2">
      <c r="A83" s="15" t="s">
        <v>7</v>
      </c>
      <c r="B83" s="22">
        <v>3971</v>
      </c>
      <c r="C83" s="22">
        <v>84080</v>
      </c>
      <c r="D83" s="22">
        <v>3222885</v>
      </c>
      <c r="E83" s="22">
        <v>2356475</v>
      </c>
      <c r="F83" s="22">
        <v>118795</v>
      </c>
      <c r="G83" s="22">
        <v>242274</v>
      </c>
      <c r="H83" s="22">
        <v>0</v>
      </c>
      <c r="I83" s="22">
        <v>20226</v>
      </c>
      <c r="J83" s="26">
        <v>21501</v>
      </c>
      <c r="L83" s="32"/>
      <c r="M83" s="32"/>
      <c r="N83" s="32"/>
      <c r="O83" s="32"/>
      <c r="P83" s="32"/>
      <c r="Q83" s="32"/>
      <c r="R83" s="32"/>
      <c r="S83" s="32"/>
      <c r="T83" s="6"/>
    </row>
    <row r="84" spans="1:20" ht="15" customHeight="1" x14ac:dyDescent="0.2">
      <c r="A84" s="15" t="s">
        <v>88</v>
      </c>
      <c r="B84" s="22">
        <v>51</v>
      </c>
      <c r="C84" s="22">
        <v>286</v>
      </c>
      <c r="D84" s="22">
        <v>4262</v>
      </c>
      <c r="E84" s="22">
        <v>838</v>
      </c>
      <c r="F84" s="22">
        <v>2689</v>
      </c>
      <c r="G84" s="22">
        <v>97</v>
      </c>
      <c r="H84" s="22">
        <v>0</v>
      </c>
      <c r="I84" s="22">
        <v>0</v>
      </c>
      <c r="J84" s="26">
        <v>0</v>
      </c>
      <c r="L84" s="32"/>
      <c r="M84" s="32"/>
      <c r="N84" s="32"/>
      <c r="O84" s="32"/>
      <c r="P84" s="32"/>
      <c r="Q84" s="32"/>
      <c r="R84" s="32"/>
      <c r="S84" s="32"/>
      <c r="T84" s="6"/>
    </row>
    <row r="85" spans="1:20" ht="15" customHeight="1" x14ac:dyDescent="0.2">
      <c r="A85" s="16" t="s">
        <v>20</v>
      </c>
      <c r="B85" s="22">
        <v>37204</v>
      </c>
      <c r="C85" s="22">
        <v>94564</v>
      </c>
      <c r="D85" s="22">
        <v>1464610</v>
      </c>
      <c r="E85" s="22">
        <v>886503</v>
      </c>
      <c r="F85" s="22">
        <v>276660</v>
      </c>
      <c r="G85" s="22">
        <v>31453</v>
      </c>
      <c r="H85" s="22">
        <v>11264</v>
      </c>
      <c r="I85" s="22">
        <v>11172</v>
      </c>
      <c r="J85" s="26">
        <v>0</v>
      </c>
      <c r="L85" s="32"/>
      <c r="M85" s="32"/>
      <c r="N85" s="32"/>
      <c r="O85" s="32"/>
      <c r="P85" s="32"/>
      <c r="Q85" s="32"/>
      <c r="R85" s="32"/>
      <c r="S85" s="32"/>
      <c r="T85" s="6"/>
    </row>
    <row r="86" spans="1:20" ht="15" customHeight="1" x14ac:dyDescent="0.2">
      <c r="A86" s="15" t="s">
        <v>6</v>
      </c>
      <c r="B86" s="22">
        <v>29188</v>
      </c>
      <c r="C86" s="22">
        <v>9691</v>
      </c>
      <c r="D86" s="22">
        <v>65177</v>
      </c>
      <c r="E86" s="22">
        <v>20351</v>
      </c>
      <c r="F86" s="22">
        <v>8130</v>
      </c>
      <c r="G86" s="22">
        <v>3373</v>
      </c>
      <c r="H86" s="22">
        <v>11264</v>
      </c>
      <c r="I86" s="22">
        <v>2061</v>
      </c>
      <c r="J86" s="26">
        <v>0</v>
      </c>
      <c r="L86" s="32"/>
      <c r="M86" s="32"/>
      <c r="N86" s="32"/>
      <c r="O86" s="32"/>
      <c r="P86" s="32"/>
      <c r="Q86" s="32"/>
      <c r="R86" s="32"/>
      <c r="S86" s="32"/>
      <c r="T86" s="6"/>
    </row>
    <row r="87" spans="1:20" ht="15" customHeight="1" x14ac:dyDescent="0.2">
      <c r="A87" s="15" t="s">
        <v>7</v>
      </c>
      <c r="B87" s="22">
        <v>3838</v>
      </c>
      <c r="C87" s="22">
        <v>45826</v>
      </c>
      <c r="D87" s="22">
        <v>480502</v>
      </c>
      <c r="E87" s="22">
        <v>171108</v>
      </c>
      <c r="F87" s="22">
        <v>132313</v>
      </c>
      <c r="G87" s="22">
        <v>10075</v>
      </c>
      <c r="H87" s="22">
        <v>0</v>
      </c>
      <c r="I87" s="22">
        <v>6307</v>
      </c>
      <c r="J87" s="26">
        <v>0</v>
      </c>
      <c r="L87" s="32"/>
      <c r="M87" s="32"/>
      <c r="N87" s="32"/>
      <c r="O87" s="32"/>
      <c r="P87" s="32"/>
      <c r="Q87" s="32"/>
      <c r="R87" s="32"/>
      <c r="S87" s="32"/>
      <c r="T87" s="6"/>
    </row>
    <row r="88" spans="1:20" ht="15" customHeight="1" x14ac:dyDescent="0.2">
      <c r="A88" s="15" t="s">
        <v>88</v>
      </c>
      <c r="B88" s="22">
        <v>0</v>
      </c>
      <c r="C88" s="22">
        <v>0</v>
      </c>
      <c r="D88" s="22">
        <v>0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6">
        <v>0</v>
      </c>
      <c r="L88" s="32"/>
      <c r="M88" s="32"/>
      <c r="N88" s="32"/>
      <c r="O88" s="32"/>
      <c r="P88" s="32"/>
      <c r="Q88" s="32"/>
      <c r="R88" s="32"/>
      <c r="S88" s="32"/>
      <c r="T88" s="6"/>
    </row>
    <row r="89" spans="1:20" ht="15" customHeight="1" x14ac:dyDescent="0.2">
      <c r="A89" s="15" t="s">
        <v>110</v>
      </c>
      <c r="B89" s="22">
        <v>14275</v>
      </c>
      <c r="C89" s="22">
        <v>8164</v>
      </c>
      <c r="D89" s="22">
        <v>205215</v>
      </c>
      <c r="E89" s="22">
        <v>73880</v>
      </c>
      <c r="F89" s="22">
        <v>15335</v>
      </c>
      <c r="G89" s="22">
        <v>87324</v>
      </c>
      <c r="H89" s="22">
        <v>8437</v>
      </c>
      <c r="I89" s="22">
        <v>1493</v>
      </c>
      <c r="J89" s="26">
        <v>0</v>
      </c>
      <c r="L89" s="32"/>
      <c r="M89" s="32"/>
      <c r="N89" s="32"/>
      <c r="O89" s="32"/>
      <c r="P89" s="32"/>
      <c r="Q89" s="32"/>
      <c r="R89" s="32"/>
      <c r="S89" s="32"/>
      <c r="T89" s="6"/>
    </row>
    <row r="90" spans="1:20" ht="15" customHeight="1" x14ac:dyDescent="0.2">
      <c r="A90" s="15" t="s">
        <v>6</v>
      </c>
      <c r="B90" s="22">
        <v>11453</v>
      </c>
      <c r="C90" s="22">
        <v>4652</v>
      </c>
      <c r="D90" s="22">
        <v>31337</v>
      </c>
      <c r="E90" s="22">
        <v>8256</v>
      </c>
      <c r="F90" s="22">
        <v>3732</v>
      </c>
      <c r="G90" s="22">
        <v>389</v>
      </c>
      <c r="H90" s="22">
        <v>8437</v>
      </c>
      <c r="I90" s="22">
        <v>1055</v>
      </c>
      <c r="J90" s="26">
        <v>0</v>
      </c>
      <c r="L90" s="32"/>
      <c r="M90" s="32"/>
      <c r="N90" s="32"/>
      <c r="O90" s="32"/>
      <c r="P90" s="32"/>
      <c r="Q90" s="32"/>
      <c r="R90" s="32"/>
      <c r="S90" s="32"/>
      <c r="T90" s="6"/>
    </row>
    <row r="91" spans="1:20" ht="15" customHeight="1" x14ac:dyDescent="0.2">
      <c r="A91" s="15" t="s">
        <v>7</v>
      </c>
      <c r="B91" s="22">
        <v>1844</v>
      </c>
      <c r="C91" s="22">
        <v>3129</v>
      </c>
      <c r="D91" s="22">
        <v>135233</v>
      </c>
      <c r="E91" s="22">
        <v>33936</v>
      </c>
      <c r="F91" s="22">
        <v>9300</v>
      </c>
      <c r="G91" s="22">
        <v>86168</v>
      </c>
      <c r="H91" s="22">
        <v>0</v>
      </c>
      <c r="I91" s="22">
        <v>224</v>
      </c>
      <c r="J91" s="26">
        <v>0</v>
      </c>
      <c r="L91" s="32"/>
      <c r="M91" s="32"/>
      <c r="N91" s="32"/>
      <c r="O91" s="32"/>
      <c r="P91" s="32"/>
      <c r="Q91" s="32"/>
      <c r="R91" s="32"/>
      <c r="S91" s="32"/>
      <c r="T91" s="6"/>
    </row>
    <row r="92" spans="1:20" ht="15" customHeight="1" x14ac:dyDescent="0.2">
      <c r="A92" s="15" t="s">
        <v>88</v>
      </c>
      <c r="B92" s="22" t="s">
        <v>101</v>
      </c>
      <c r="C92" s="22" t="s">
        <v>101</v>
      </c>
      <c r="D92" s="22" t="s">
        <v>101</v>
      </c>
      <c r="E92" s="22">
        <v>0</v>
      </c>
      <c r="F92" s="22" t="s">
        <v>101</v>
      </c>
      <c r="G92" s="22">
        <v>0</v>
      </c>
      <c r="H92" s="22">
        <v>0</v>
      </c>
      <c r="I92" s="22">
        <v>0</v>
      </c>
      <c r="J92" s="26">
        <v>0</v>
      </c>
      <c r="L92" s="32"/>
      <c r="M92" s="32"/>
      <c r="N92" s="32"/>
      <c r="O92" s="32"/>
      <c r="P92" s="32"/>
      <c r="Q92" s="32"/>
      <c r="R92" s="32"/>
      <c r="S92" s="32"/>
      <c r="T92" s="6"/>
    </row>
    <row r="93" spans="1:20" ht="15" customHeight="1" x14ac:dyDescent="0.2">
      <c r="A93" s="15" t="s">
        <v>111</v>
      </c>
      <c r="B93" s="22">
        <v>9473</v>
      </c>
      <c r="C93" s="22">
        <v>23871</v>
      </c>
      <c r="D93" s="22">
        <v>555849</v>
      </c>
      <c r="E93" s="22">
        <v>230308</v>
      </c>
      <c r="F93" s="22">
        <v>271526</v>
      </c>
      <c r="G93" s="22">
        <v>4325</v>
      </c>
      <c r="H93" s="22">
        <v>109</v>
      </c>
      <c r="I93" s="22">
        <v>67</v>
      </c>
      <c r="J93" s="26">
        <v>0</v>
      </c>
      <c r="L93" s="32"/>
      <c r="M93" s="32"/>
      <c r="N93" s="32"/>
      <c r="O93" s="32"/>
      <c r="P93" s="32"/>
      <c r="Q93" s="32"/>
      <c r="R93" s="32"/>
      <c r="S93" s="32"/>
      <c r="T93" s="6"/>
    </row>
    <row r="94" spans="1:20" ht="15" customHeight="1" x14ac:dyDescent="0.2">
      <c r="A94" s="15" t="s">
        <v>6</v>
      </c>
      <c r="B94" s="22">
        <v>4937</v>
      </c>
      <c r="C94" s="22">
        <v>7620</v>
      </c>
      <c r="D94" s="22">
        <v>31326</v>
      </c>
      <c r="E94" s="22">
        <v>2855</v>
      </c>
      <c r="F94" s="22">
        <v>3285</v>
      </c>
      <c r="G94" s="22">
        <v>29</v>
      </c>
      <c r="H94" s="22">
        <v>109</v>
      </c>
      <c r="I94" s="22">
        <v>62</v>
      </c>
      <c r="J94" s="26">
        <v>0</v>
      </c>
      <c r="L94" s="32"/>
      <c r="M94" s="32"/>
      <c r="N94" s="32"/>
      <c r="O94" s="32"/>
      <c r="P94" s="32"/>
      <c r="Q94" s="32"/>
      <c r="R94" s="32"/>
      <c r="S94" s="32"/>
      <c r="T94" s="6"/>
    </row>
    <row r="95" spans="1:20" ht="15" customHeight="1" x14ac:dyDescent="0.2">
      <c r="A95" s="15" t="s">
        <v>7</v>
      </c>
      <c r="B95" s="22">
        <v>2532</v>
      </c>
      <c r="C95" s="22">
        <v>6949</v>
      </c>
      <c r="D95" s="22">
        <v>100095</v>
      </c>
      <c r="E95" s="22">
        <v>67973</v>
      </c>
      <c r="F95" s="22">
        <v>20870</v>
      </c>
      <c r="G95" s="22">
        <v>295</v>
      </c>
      <c r="H95" s="22">
        <v>0</v>
      </c>
      <c r="I95" s="22">
        <v>5</v>
      </c>
      <c r="J95" s="26">
        <v>0</v>
      </c>
      <c r="L95" s="32"/>
      <c r="M95" s="32"/>
      <c r="N95" s="32"/>
      <c r="O95" s="32"/>
      <c r="P95" s="32"/>
      <c r="Q95" s="32"/>
      <c r="R95" s="32"/>
      <c r="S95" s="32"/>
      <c r="T95" s="6"/>
    </row>
    <row r="96" spans="1:20" ht="15" customHeight="1" x14ac:dyDescent="0.2">
      <c r="A96" s="15" t="s">
        <v>88</v>
      </c>
      <c r="B96" s="22">
        <v>43</v>
      </c>
      <c r="C96" s="22">
        <v>4804</v>
      </c>
      <c r="D96" s="22">
        <v>367963</v>
      </c>
      <c r="E96" s="22">
        <v>121415</v>
      </c>
      <c r="F96" s="22">
        <v>236885</v>
      </c>
      <c r="G96" s="22">
        <v>1235</v>
      </c>
      <c r="H96" s="22">
        <v>0</v>
      </c>
      <c r="I96" s="22">
        <v>0</v>
      </c>
      <c r="J96" s="26">
        <v>0</v>
      </c>
      <c r="L96" s="32"/>
      <c r="M96" s="32"/>
      <c r="N96" s="32"/>
      <c r="O96" s="32"/>
      <c r="P96" s="32"/>
      <c r="Q96" s="32"/>
      <c r="R96" s="32"/>
      <c r="S96" s="32"/>
      <c r="T96" s="6"/>
    </row>
    <row r="97" spans="1:20" ht="15" customHeight="1" x14ac:dyDescent="0.2">
      <c r="A97" s="15" t="s">
        <v>71</v>
      </c>
      <c r="B97" s="22">
        <v>5552</v>
      </c>
      <c r="C97" s="22">
        <v>12942</v>
      </c>
      <c r="D97" s="22">
        <v>383867</v>
      </c>
      <c r="E97" s="22">
        <v>93765</v>
      </c>
      <c r="F97" s="22">
        <v>31648</v>
      </c>
      <c r="G97" s="22">
        <v>160422</v>
      </c>
      <c r="H97" s="22">
        <v>755</v>
      </c>
      <c r="I97" s="22">
        <v>6458</v>
      </c>
      <c r="J97" s="26">
        <v>0</v>
      </c>
      <c r="L97" s="32"/>
      <c r="M97" s="32"/>
      <c r="N97" s="32"/>
      <c r="O97" s="32"/>
      <c r="P97" s="32"/>
      <c r="Q97" s="32"/>
      <c r="R97" s="32"/>
      <c r="S97" s="32"/>
      <c r="T97" s="6"/>
    </row>
    <row r="98" spans="1:20" ht="15" customHeight="1" x14ac:dyDescent="0.2">
      <c r="A98" s="15" t="s">
        <v>6</v>
      </c>
      <c r="B98" s="22">
        <v>3384</v>
      </c>
      <c r="C98" s="22">
        <v>1075</v>
      </c>
      <c r="D98" s="22">
        <v>10896</v>
      </c>
      <c r="E98" s="22">
        <v>3334</v>
      </c>
      <c r="F98" s="22">
        <v>2481</v>
      </c>
      <c r="G98" s="22">
        <v>646</v>
      </c>
      <c r="H98" s="22">
        <v>755</v>
      </c>
      <c r="I98" s="22">
        <v>1182</v>
      </c>
      <c r="J98" s="26">
        <v>0</v>
      </c>
      <c r="L98" s="32"/>
      <c r="M98" s="32"/>
      <c r="N98" s="32"/>
      <c r="O98" s="32"/>
      <c r="P98" s="32"/>
      <c r="Q98" s="32"/>
      <c r="R98" s="32"/>
      <c r="S98" s="32"/>
      <c r="T98" s="6"/>
    </row>
    <row r="99" spans="1:20" ht="15" customHeight="1" x14ac:dyDescent="0.2">
      <c r="A99" s="15" t="s">
        <v>7</v>
      </c>
      <c r="B99" s="22">
        <v>1901</v>
      </c>
      <c r="C99" s="22">
        <v>6442</v>
      </c>
      <c r="D99" s="22">
        <v>228758</v>
      </c>
      <c r="E99" s="22">
        <v>72586</v>
      </c>
      <c r="F99" s="22">
        <v>18745</v>
      </c>
      <c r="G99" s="22">
        <v>48804</v>
      </c>
      <c r="H99" s="22">
        <v>0</v>
      </c>
      <c r="I99" s="22">
        <v>5205</v>
      </c>
      <c r="J99" s="26">
        <v>0</v>
      </c>
      <c r="L99" s="32"/>
      <c r="M99" s="32"/>
      <c r="N99" s="32"/>
      <c r="O99" s="32"/>
      <c r="P99" s="32"/>
      <c r="Q99" s="32"/>
      <c r="R99" s="32"/>
      <c r="S99" s="32"/>
      <c r="T99" s="6"/>
    </row>
    <row r="100" spans="1:20" ht="15" customHeight="1" x14ac:dyDescent="0.2">
      <c r="A100" s="15" t="s">
        <v>88</v>
      </c>
      <c r="B100" s="22">
        <v>30</v>
      </c>
      <c r="C100" s="22">
        <v>1767</v>
      </c>
      <c r="D100" s="22">
        <v>13514</v>
      </c>
      <c r="E100" s="22">
        <v>5399</v>
      </c>
      <c r="F100" s="22">
        <v>5995</v>
      </c>
      <c r="G100" s="22">
        <v>0</v>
      </c>
      <c r="H100" s="22">
        <v>0</v>
      </c>
      <c r="I100" s="22">
        <v>0</v>
      </c>
      <c r="J100" s="26">
        <v>0</v>
      </c>
      <c r="L100" s="32"/>
      <c r="M100" s="32"/>
      <c r="N100" s="32"/>
      <c r="O100" s="32"/>
      <c r="P100" s="32"/>
      <c r="Q100" s="32"/>
      <c r="R100" s="32"/>
      <c r="S100" s="32"/>
      <c r="T100" s="6"/>
    </row>
    <row r="101" spans="1:20" ht="15" customHeight="1" x14ac:dyDescent="0.2">
      <c r="A101" s="16" t="s">
        <v>58</v>
      </c>
      <c r="B101" s="22">
        <v>27384</v>
      </c>
      <c r="C101" s="22">
        <v>12897</v>
      </c>
      <c r="D101" s="22">
        <v>965399</v>
      </c>
      <c r="E101" s="22">
        <v>535922</v>
      </c>
      <c r="F101" s="22">
        <v>110662</v>
      </c>
      <c r="G101" s="22">
        <v>189381</v>
      </c>
      <c r="H101" s="22">
        <v>2372</v>
      </c>
      <c r="I101" s="22">
        <v>8366</v>
      </c>
      <c r="J101" s="26">
        <v>0</v>
      </c>
      <c r="L101" s="32"/>
      <c r="M101" s="32"/>
      <c r="N101" s="32"/>
      <c r="O101" s="32"/>
      <c r="P101" s="32"/>
      <c r="Q101" s="32"/>
      <c r="R101" s="32"/>
      <c r="S101" s="32"/>
      <c r="T101" s="6"/>
    </row>
    <row r="102" spans="1:20" ht="15" customHeight="1" x14ac:dyDescent="0.2">
      <c r="A102" s="15" t="s">
        <v>6</v>
      </c>
      <c r="B102" s="22">
        <v>23492</v>
      </c>
      <c r="C102" s="22">
        <v>3509</v>
      </c>
      <c r="D102" s="22">
        <v>29933</v>
      </c>
      <c r="E102" s="22">
        <v>2714</v>
      </c>
      <c r="F102" s="22">
        <v>7518</v>
      </c>
      <c r="G102" s="22">
        <v>4020</v>
      </c>
      <c r="H102" s="22">
        <v>2372</v>
      </c>
      <c r="I102" s="22">
        <v>3185</v>
      </c>
      <c r="J102" s="26">
        <v>0</v>
      </c>
      <c r="L102" s="32"/>
      <c r="M102" s="32"/>
      <c r="N102" s="32"/>
      <c r="O102" s="32"/>
      <c r="P102" s="32"/>
      <c r="Q102" s="32"/>
      <c r="R102" s="32"/>
      <c r="S102" s="32"/>
      <c r="T102" s="6"/>
    </row>
    <row r="103" spans="1:20" ht="15" customHeight="1" x14ac:dyDescent="0.2">
      <c r="A103" s="15" t="s">
        <v>7</v>
      </c>
      <c r="B103" s="22">
        <v>842</v>
      </c>
      <c r="C103" s="22">
        <v>3717</v>
      </c>
      <c r="D103" s="22">
        <v>96390</v>
      </c>
      <c r="E103" s="22">
        <v>14404</v>
      </c>
      <c r="F103" s="22">
        <v>18661</v>
      </c>
      <c r="G103" s="22">
        <v>41562</v>
      </c>
      <c r="H103" s="22">
        <v>0</v>
      </c>
      <c r="I103" s="22">
        <v>4100</v>
      </c>
      <c r="J103" s="26">
        <v>0</v>
      </c>
      <c r="L103" s="32"/>
      <c r="M103" s="32"/>
      <c r="N103" s="32"/>
      <c r="O103" s="32"/>
      <c r="P103" s="32"/>
      <c r="Q103" s="32"/>
      <c r="R103" s="32"/>
      <c r="S103" s="32"/>
      <c r="T103" s="6"/>
    </row>
    <row r="104" spans="1:20" ht="15" customHeight="1" x14ac:dyDescent="0.2">
      <c r="A104" s="15" t="s">
        <v>88</v>
      </c>
      <c r="B104" s="22">
        <v>74</v>
      </c>
      <c r="C104" s="22">
        <v>3947</v>
      </c>
      <c r="D104" s="22">
        <v>46500</v>
      </c>
      <c r="E104" s="22">
        <v>21158</v>
      </c>
      <c r="F104" s="22">
        <v>24573</v>
      </c>
      <c r="G104" s="22">
        <v>8</v>
      </c>
      <c r="H104" s="22">
        <v>0</v>
      </c>
      <c r="I104" s="22">
        <v>0</v>
      </c>
      <c r="J104" s="26">
        <v>0</v>
      </c>
      <c r="L104" s="32"/>
      <c r="M104" s="32"/>
      <c r="N104" s="32"/>
      <c r="O104" s="32"/>
      <c r="P104" s="32"/>
      <c r="Q104" s="32"/>
      <c r="R104" s="32"/>
      <c r="S104" s="32"/>
      <c r="T104" s="6"/>
    </row>
    <row r="105" spans="1:20" ht="15" customHeight="1" x14ac:dyDescent="0.2">
      <c r="A105" s="16" t="s">
        <v>21</v>
      </c>
      <c r="B105" s="22">
        <v>29299</v>
      </c>
      <c r="C105" s="22">
        <v>166641</v>
      </c>
      <c r="D105" s="22">
        <v>5909244</v>
      </c>
      <c r="E105" s="22">
        <v>1974971</v>
      </c>
      <c r="F105" s="22">
        <v>2274790</v>
      </c>
      <c r="G105" s="22">
        <v>878459</v>
      </c>
      <c r="H105" s="22">
        <v>8485</v>
      </c>
      <c r="I105" s="22">
        <v>58099</v>
      </c>
      <c r="J105" s="26">
        <v>0</v>
      </c>
      <c r="L105" s="32"/>
      <c r="M105" s="32"/>
      <c r="N105" s="32"/>
      <c r="O105" s="32"/>
      <c r="P105" s="32"/>
      <c r="Q105" s="32"/>
      <c r="R105" s="32"/>
      <c r="S105" s="32"/>
      <c r="T105" s="6"/>
    </row>
    <row r="106" spans="1:20" ht="15" customHeight="1" x14ac:dyDescent="0.2">
      <c r="A106" s="15" t="s">
        <v>6</v>
      </c>
      <c r="B106" s="22">
        <v>16441</v>
      </c>
      <c r="C106" s="22">
        <v>23580</v>
      </c>
      <c r="D106" s="22">
        <v>210424</v>
      </c>
      <c r="E106" s="22">
        <v>27871</v>
      </c>
      <c r="F106" s="22">
        <v>126063</v>
      </c>
      <c r="G106" s="22">
        <v>7604</v>
      </c>
      <c r="H106" s="22">
        <v>8485</v>
      </c>
      <c r="I106" s="22">
        <v>1497</v>
      </c>
      <c r="J106" s="26">
        <v>0</v>
      </c>
      <c r="L106" s="32"/>
      <c r="M106" s="32"/>
      <c r="N106" s="32"/>
      <c r="O106" s="32"/>
      <c r="P106" s="32"/>
      <c r="Q106" s="32"/>
      <c r="R106" s="32"/>
      <c r="S106" s="32"/>
      <c r="T106" s="6"/>
    </row>
    <row r="107" spans="1:20" ht="15" customHeight="1" x14ac:dyDescent="0.2">
      <c r="A107" s="15" t="s">
        <v>7</v>
      </c>
      <c r="B107" s="22">
        <v>4570</v>
      </c>
      <c r="C107" s="22">
        <v>77627</v>
      </c>
      <c r="D107" s="22">
        <v>4211505</v>
      </c>
      <c r="E107" s="22">
        <v>1322236</v>
      </c>
      <c r="F107" s="22">
        <v>1520020</v>
      </c>
      <c r="G107" s="22">
        <v>820473</v>
      </c>
      <c r="H107" s="22">
        <v>0</v>
      </c>
      <c r="I107" s="22">
        <v>49022</v>
      </c>
      <c r="J107" s="26">
        <v>0</v>
      </c>
      <c r="L107" s="32"/>
      <c r="M107" s="32"/>
      <c r="N107" s="32"/>
      <c r="O107" s="32"/>
      <c r="P107" s="32"/>
      <c r="Q107" s="32"/>
      <c r="R107" s="32"/>
      <c r="S107" s="32"/>
      <c r="T107" s="6"/>
    </row>
    <row r="108" spans="1:20" ht="15" customHeight="1" x14ac:dyDescent="0.2">
      <c r="A108" s="15" t="s">
        <v>88</v>
      </c>
      <c r="B108" s="22">
        <v>234</v>
      </c>
      <c r="C108" s="22">
        <v>60239</v>
      </c>
      <c r="D108" s="22">
        <v>578147</v>
      </c>
      <c r="E108" s="22">
        <v>151247</v>
      </c>
      <c r="F108" s="22">
        <v>403140</v>
      </c>
      <c r="G108" s="22">
        <v>61</v>
      </c>
      <c r="H108" s="22">
        <v>0</v>
      </c>
      <c r="I108" s="22">
        <v>0</v>
      </c>
      <c r="J108" s="26">
        <v>0</v>
      </c>
      <c r="L108" s="32"/>
      <c r="M108" s="32"/>
      <c r="N108" s="32"/>
      <c r="O108" s="32"/>
      <c r="P108" s="32"/>
      <c r="Q108" s="32"/>
      <c r="R108" s="32"/>
      <c r="S108" s="32"/>
      <c r="T108" s="6"/>
    </row>
    <row r="109" spans="1:20" ht="15" customHeight="1" x14ac:dyDescent="0.2">
      <c r="A109" s="15" t="s">
        <v>112</v>
      </c>
      <c r="B109" s="22">
        <v>10873</v>
      </c>
      <c r="C109" s="22">
        <v>8694</v>
      </c>
      <c r="D109" s="22">
        <v>119679</v>
      </c>
      <c r="E109" s="22">
        <v>82961</v>
      </c>
      <c r="F109" s="22">
        <v>4667</v>
      </c>
      <c r="G109" s="22">
        <v>4915</v>
      </c>
      <c r="H109" s="22">
        <v>7679</v>
      </c>
      <c r="I109" s="22">
        <v>3433</v>
      </c>
      <c r="J109" s="26">
        <v>0</v>
      </c>
      <c r="L109" s="32"/>
      <c r="M109" s="32"/>
      <c r="N109" s="32"/>
      <c r="O109" s="32"/>
      <c r="P109" s="32"/>
      <c r="Q109" s="32"/>
      <c r="R109" s="32"/>
      <c r="S109" s="32"/>
      <c r="T109" s="6"/>
    </row>
    <row r="110" spans="1:20" ht="15" customHeight="1" x14ac:dyDescent="0.2">
      <c r="A110" s="15" t="s">
        <v>6</v>
      </c>
      <c r="B110" s="22">
        <v>9250</v>
      </c>
      <c r="C110" s="22">
        <v>5434</v>
      </c>
      <c r="D110" s="22">
        <v>37164</v>
      </c>
      <c r="E110" s="22">
        <v>14571</v>
      </c>
      <c r="F110" s="22">
        <v>3146</v>
      </c>
      <c r="G110" s="22">
        <v>2028</v>
      </c>
      <c r="H110" s="22">
        <v>7679</v>
      </c>
      <c r="I110" s="22">
        <v>1885</v>
      </c>
      <c r="J110" s="26">
        <v>0</v>
      </c>
      <c r="L110" s="32"/>
      <c r="M110" s="32"/>
      <c r="N110" s="32"/>
      <c r="O110" s="32"/>
      <c r="P110" s="32"/>
      <c r="Q110" s="32"/>
      <c r="R110" s="32"/>
      <c r="S110" s="32"/>
      <c r="T110" s="6"/>
    </row>
    <row r="111" spans="1:20" ht="15" customHeight="1" x14ac:dyDescent="0.2">
      <c r="A111" s="15" t="s">
        <v>7</v>
      </c>
      <c r="B111" s="22">
        <v>485</v>
      </c>
      <c r="C111" s="22">
        <v>680</v>
      </c>
      <c r="D111" s="22">
        <v>17264</v>
      </c>
      <c r="E111" s="22">
        <v>12761</v>
      </c>
      <c r="F111" s="22">
        <v>1010</v>
      </c>
      <c r="G111" s="22">
        <v>2230</v>
      </c>
      <c r="H111" s="22">
        <v>0</v>
      </c>
      <c r="I111" s="22">
        <v>10</v>
      </c>
      <c r="J111" s="26">
        <v>0</v>
      </c>
      <c r="L111" s="32"/>
      <c r="M111" s="32"/>
      <c r="N111" s="32"/>
      <c r="O111" s="32"/>
      <c r="P111" s="32"/>
      <c r="Q111" s="32"/>
      <c r="R111" s="32"/>
      <c r="S111" s="32"/>
      <c r="T111" s="6"/>
    </row>
    <row r="112" spans="1:20" ht="15" customHeight="1" x14ac:dyDescent="0.2">
      <c r="A112" s="15" t="s">
        <v>88</v>
      </c>
      <c r="B112" s="22">
        <v>13</v>
      </c>
      <c r="C112" s="22">
        <v>67</v>
      </c>
      <c r="D112" s="22">
        <v>234</v>
      </c>
      <c r="E112" s="22">
        <v>7</v>
      </c>
      <c r="F112" s="22">
        <v>218</v>
      </c>
      <c r="G112" s="22">
        <v>0</v>
      </c>
      <c r="H112" s="22">
        <v>0</v>
      </c>
      <c r="I112" s="22">
        <v>0</v>
      </c>
      <c r="J112" s="26">
        <v>0</v>
      </c>
      <c r="L112" s="32"/>
      <c r="M112" s="32"/>
      <c r="N112" s="32"/>
      <c r="O112" s="32"/>
      <c r="P112" s="32"/>
      <c r="Q112" s="32"/>
      <c r="R112" s="32"/>
      <c r="S112" s="32"/>
      <c r="T112" s="6"/>
    </row>
    <row r="113" spans="1:20" ht="15" customHeight="1" x14ac:dyDescent="0.2">
      <c r="A113" s="16" t="s">
        <v>79</v>
      </c>
      <c r="B113" s="22">
        <v>228</v>
      </c>
      <c r="C113" s="22">
        <v>134</v>
      </c>
      <c r="D113" s="22">
        <v>260398</v>
      </c>
      <c r="E113" s="22">
        <v>171717</v>
      </c>
      <c r="F113" s="22">
        <v>86865</v>
      </c>
      <c r="G113" s="22">
        <v>204</v>
      </c>
      <c r="H113" s="22">
        <v>0</v>
      </c>
      <c r="I113" s="22">
        <v>130</v>
      </c>
      <c r="J113" s="26">
        <v>0</v>
      </c>
      <c r="L113" s="32"/>
      <c r="M113" s="32"/>
      <c r="N113" s="32"/>
      <c r="O113" s="32"/>
      <c r="P113" s="32"/>
      <c r="Q113" s="32"/>
      <c r="R113" s="32"/>
      <c r="S113" s="32"/>
      <c r="T113" s="6"/>
    </row>
    <row r="114" spans="1:20" ht="15" customHeight="1" x14ac:dyDescent="0.2">
      <c r="A114" s="15" t="s">
        <v>6</v>
      </c>
      <c r="B114" s="22">
        <v>196</v>
      </c>
      <c r="C114" s="22">
        <v>133</v>
      </c>
      <c r="D114" s="22">
        <v>951</v>
      </c>
      <c r="E114" s="22">
        <v>12</v>
      </c>
      <c r="F114" s="22">
        <v>5</v>
      </c>
      <c r="G114" s="22">
        <v>139</v>
      </c>
      <c r="H114" s="22">
        <v>0</v>
      </c>
      <c r="I114" s="22">
        <v>130</v>
      </c>
      <c r="J114" s="26">
        <v>0</v>
      </c>
      <c r="L114" s="32"/>
      <c r="M114" s="32"/>
      <c r="N114" s="32"/>
      <c r="O114" s="32"/>
      <c r="P114" s="32"/>
      <c r="Q114" s="32"/>
      <c r="R114" s="32"/>
      <c r="S114" s="32"/>
      <c r="T114" s="6"/>
    </row>
    <row r="115" spans="1:20" ht="15" customHeight="1" x14ac:dyDescent="0.2">
      <c r="A115" s="15" t="s">
        <v>7</v>
      </c>
      <c r="B115" s="22">
        <v>4</v>
      </c>
      <c r="C115" s="22">
        <v>0</v>
      </c>
      <c r="D115" s="22">
        <v>125</v>
      </c>
      <c r="E115" s="22">
        <v>102</v>
      </c>
      <c r="F115" s="22">
        <v>0</v>
      </c>
      <c r="G115" s="22">
        <v>15</v>
      </c>
      <c r="H115" s="22">
        <v>0</v>
      </c>
      <c r="I115" s="22">
        <v>0</v>
      </c>
      <c r="J115" s="26">
        <v>0</v>
      </c>
      <c r="L115" s="32"/>
      <c r="M115" s="32"/>
      <c r="N115" s="32"/>
      <c r="O115" s="32"/>
      <c r="P115" s="32"/>
      <c r="Q115" s="32"/>
      <c r="R115" s="32"/>
      <c r="S115" s="32"/>
      <c r="T115" s="6"/>
    </row>
    <row r="116" spans="1:20" ht="15" customHeight="1" x14ac:dyDescent="0.2">
      <c r="A116" s="15" t="s">
        <v>88</v>
      </c>
      <c r="B116" s="22">
        <v>0</v>
      </c>
      <c r="C116" s="22">
        <v>0</v>
      </c>
      <c r="D116" s="22">
        <v>0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6">
        <v>0</v>
      </c>
      <c r="L116" s="32"/>
      <c r="M116" s="32"/>
      <c r="N116" s="32"/>
      <c r="O116" s="32"/>
      <c r="P116" s="32"/>
      <c r="Q116" s="32"/>
      <c r="R116" s="32"/>
      <c r="S116" s="32"/>
      <c r="T116" s="6"/>
    </row>
    <row r="117" spans="1:20" ht="15" customHeight="1" x14ac:dyDescent="0.2">
      <c r="A117" s="20" t="s">
        <v>102</v>
      </c>
      <c r="B117" s="22">
        <v>12228</v>
      </c>
      <c r="C117" s="22">
        <v>2873</v>
      </c>
      <c r="D117" s="22">
        <v>112336</v>
      </c>
      <c r="E117" s="22">
        <v>79642</v>
      </c>
      <c r="F117" s="22">
        <v>5630</v>
      </c>
      <c r="G117" s="22">
        <v>1502</v>
      </c>
      <c r="H117" s="22">
        <v>94</v>
      </c>
      <c r="I117" s="22">
        <v>7799</v>
      </c>
      <c r="J117" s="26">
        <v>0</v>
      </c>
      <c r="L117" s="32"/>
      <c r="M117" s="32"/>
      <c r="N117" s="32"/>
      <c r="O117" s="32"/>
      <c r="P117" s="32"/>
      <c r="Q117" s="32"/>
      <c r="R117" s="32"/>
      <c r="S117" s="32"/>
      <c r="T117" s="6"/>
    </row>
    <row r="118" spans="1:20" ht="15" customHeight="1" x14ac:dyDescent="0.2">
      <c r="A118" s="15" t="s">
        <v>6</v>
      </c>
      <c r="B118" s="22">
        <v>11303</v>
      </c>
      <c r="C118" s="22">
        <v>2432</v>
      </c>
      <c r="D118" s="22">
        <v>29256</v>
      </c>
      <c r="E118" s="22">
        <v>1958</v>
      </c>
      <c r="F118" s="22">
        <v>5371</v>
      </c>
      <c r="G118" s="22">
        <v>1002</v>
      </c>
      <c r="H118" s="22">
        <v>94</v>
      </c>
      <c r="I118" s="22">
        <v>6937</v>
      </c>
      <c r="J118" s="26">
        <v>0</v>
      </c>
      <c r="L118" s="32"/>
      <c r="M118" s="32"/>
      <c r="N118" s="32"/>
      <c r="O118" s="32"/>
      <c r="P118" s="32"/>
      <c r="Q118" s="32"/>
      <c r="R118" s="32"/>
      <c r="S118" s="32"/>
      <c r="T118" s="6"/>
    </row>
    <row r="119" spans="1:20" ht="15" customHeight="1" x14ac:dyDescent="0.2">
      <c r="A119" s="15" t="s">
        <v>7</v>
      </c>
      <c r="B119" s="22">
        <v>127</v>
      </c>
      <c r="C119" s="22">
        <v>102</v>
      </c>
      <c r="D119" s="22">
        <v>2972</v>
      </c>
      <c r="E119" s="22">
        <v>265</v>
      </c>
      <c r="F119" s="22">
        <v>20</v>
      </c>
      <c r="G119" s="22">
        <v>248</v>
      </c>
      <c r="H119" s="22">
        <v>0</v>
      </c>
      <c r="I119" s="22">
        <v>696</v>
      </c>
      <c r="J119" s="26">
        <v>0</v>
      </c>
      <c r="L119" s="32"/>
      <c r="M119" s="32"/>
      <c r="N119" s="32"/>
      <c r="O119" s="32"/>
      <c r="P119" s="32"/>
      <c r="Q119" s="32"/>
      <c r="R119" s="32"/>
      <c r="S119" s="32"/>
      <c r="T119" s="6"/>
    </row>
    <row r="120" spans="1:20" ht="15" customHeight="1" x14ac:dyDescent="0.2">
      <c r="A120" s="15" t="s">
        <v>88</v>
      </c>
      <c r="B120" s="22">
        <v>0</v>
      </c>
      <c r="C120" s="22">
        <v>0</v>
      </c>
      <c r="D120" s="22">
        <v>0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6">
        <v>0</v>
      </c>
      <c r="L120" s="32"/>
      <c r="M120" s="32"/>
      <c r="N120" s="32"/>
      <c r="O120" s="32"/>
      <c r="P120" s="32"/>
      <c r="Q120" s="32"/>
      <c r="R120" s="32"/>
      <c r="S120" s="32"/>
      <c r="T120" s="6"/>
    </row>
    <row r="121" spans="1:20" ht="15" customHeight="1" x14ac:dyDescent="0.2">
      <c r="A121" s="16" t="s">
        <v>22</v>
      </c>
      <c r="B121" s="22">
        <v>18160</v>
      </c>
      <c r="C121" s="22">
        <v>39320</v>
      </c>
      <c r="D121" s="22">
        <v>2019834</v>
      </c>
      <c r="E121" s="22">
        <v>894517</v>
      </c>
      <c r="F121" s="22">
        <v>668406</v>
      </c>
      <c r="G121" s="22">
        <v>253825</v>
      </c>
      <c r="H121" s="22">
        <v>3856</v>
      </c>
      <c r="I121" s="22">
        <v>17107</v>
      </c>
      <c r="J121" s="26">
        <v>0</v>
      </c>
      <c r="L121" s="32"/>
      <c r="M121" s="32"/>
      <c r="N121" s="32"/>
      <c r="O121" s="32"/>
      <c r="P121" s="32"/>
      <c r="Q121" s="32"/>
      <c r="R121" s="32"/>
      <c r="S121" s="32"/>
      <c r="T121" s="6"/>
    </row>
    <row r="122" spans="1:20" ht="15" customHeight="1" x14ac:dyDescent="0.2">
      <c r="A122" s="15" t="s">
        <v>6</v>
      </c>
      <c r="B122" s="22">
        <v>12652</v>
      </c>
      <c r="C122" s="22">
        <v>2607</v>
      </c>
      <c r="D122" s="22">
        <v>19474</v>
      </c>
      <c r="E122" s="22">
        <v>593</v>
      </c>
      <c r="F122" s="22">
        <v>2739</v>
      </c>
      <c r="G122" s="22">
        <v>3828</v>
      </c>
      <c r="H122" s="22">
        <v>3856</v>
      </c>
      <c r="I122" s="22">
        <v>690</v>
      </c>
      <c r="J122" s="26">
        <v>0</v>
      </c>
      <c r="L122" s="32"/>
      <c r="M122" s="32"/>
      <c r="N122" s="32"/>
      <c r="O122" s="32"/>
      <c r="P122" s="32"/>
      <c r="Q122" s="32"/>
      <c r="R122" s="32"/>
      <c r="S122" s="32"/>
      <c r="T122" s="6"/>
    </row>
    <row r="123" spans="1:20" ht="15" customHeight="1" x14ac:dyDescent="0.2">
      <c r="A123" s="15" t="s">
        <v>7</v>
      </c>
      <c r="B123" s="22">
        <v>3062</v>
      </c>
      <c r="C123" s="22">
        <v>29449</v>
      </c>
      <c r="D123" s="22">
        <v>1284140</v>
      </c>
      <c r="E123" s="22">
        <v>472721</v>
      </c>
      <c r="F123" s="22">
        <v>442111</v>
      </c>
      <c r="G123" s="22">
        <v>226937</v>
      </c>
      <c r="H123" s="22">
        <v>0</v>
      </c>
      <c r="I123" s="22">
        <v>15739</v>
      </c>
      <c r="J123" s="26">
        <v>0</v>
      </c>
      <c r="L123" s="32"/>
      <c r="M123" s="32"/>
      <c r="N123" s="32"/>
      <c r="O123" s="32"/>
      <c r="P123" s="32"/>
      <c r="Q123" s="32"/>
      <c r="R123" s="32"/>
      <c r="S123" s="32"/>
      <c r="T123" s="6"/>
    </row>
    <row r="124" spans="1:20" ht="15" customHeight="1" x14ac:dyDescent="0.2">
      <c r="A124" s="15" t="s">
        <v>88</v>
      </c>
      <c r="B124" s="22">
        <v>57</v>
      </c>
      <c r="C124" s="22">
        <v>5787</v>
      </c>
      <c r="D124" s="22">
        <v>46098</v>
      </c>
      <c r="E124" s="22">
        <v>7694</v>
      </c>
      <c r="F124" s="22">
        <v>38151</v>
      </c>
      <c r="G124" s="22">
        <v>8</v>
      </c>
      <c r="H124" s="22">
        <v>0</v>
      </c>
      <c r="I124" s="22">
        <v>0</v>
      </c>
      <c r="J124" s="26">
        <v>0</v>
      </c>
      <c r="L124" s="32"/>
      <c r="M124" s="32"/>
      <c r="N124" s="32"/>
      <c r="O124" s="32"/>
      <c r="P124" s="32"/>
      <c r="Q124" s="32"/>
      <c r="R124" s="32"/>
      <c r="S124" s="32"/>
      <c r="T124" s="6"/>
    </row>
    <row r="125" spans="1:20" ht="15" customHeight="1" x14ac:dyDescent="0.2">
      <c r="A125" s="16" t="s">
        <v>23</v>
      </c>
      <c r="B125" s="22">
        <v>128676</v>
      </c>
      <c r="C125" s="22">
        <v>422261</v>
      </c>
      <c r="D125" s="22">
        <v>73175731</v>
      </c>
      <c r="E125" s="22">
        <v>37746736</v>
      </c>
      <c r="F125" s="22">
        <v>12492623</v>
      </c>
      <c r="G125" s="22">
        <v>3309325</v>
      </c>
      <c r="H125" s="22">
        <v>46822</v>
      </c>
      <c r="I125" s="22">
        <v>192105</v>
      </c>
      <c r="J125" s="26">
        <v>8564152</v>
      </c>
      <c r="L125" s="32"/>
      <c r="M125" s="32"/>
      <c r="N125" s="32"/>
      <c r="O125" s="32"/>
      <c r="P125" s="32"/>
      <c r="Q125" s="32"/>
      <c r="R125" s="32"/>
      <c r="S125" s="32"/>
      <c r="T125" s="6"/>
    </row>
    <row r="126" spans="1:20" ht="15" customHeight="1" x14ac:dyDescent="0.2">
      <c r="A126" s="15" t="s">
        <v>6</v>
      </c>
      <c r="B126" s="22">
        <v>99908</v>
      </c>
      <c r="C126" s="22">
        <v>43992</v>
      </c>
      <c r="D126" s="22">
        <v>385065</v>
      </c>
      <c r="E126" s="22">
        <v>58038</v>
      </c>
      <c r="F126" s="22">
        <v>69416</v>
      </c>
      <c r="G126" s="22">
        <v>49734</v>
      </c>
      <c r="H126" s="22">
        <v>46822</v>
      </c>
      <c r="I126" s="22">
        <v>54252</v>
      </c>
      <c r="J126" s="26">
        <v>0</v>
      </c>
      <c r="L126" s="32"/>
      <c r="M126" s="32"/>
      <c r="N126" s="32"/>
      <c r="O126" s="32"/>
      <c r="P126" s="32"/>
      <c r="Q126" s="32"/>
      <c r="R126" s="32"/>
      <c r="S126" s="32"/>
      <c r="T126" s="6"/>
    </row>
    <row r="127" spans="1:20" ht="15" customHeight="1" x14ac:dyDescent="0.2">
      <c r="A127" s="15" t="s">
        <v>7</v>
      </c>
      <c r="B127" s="22">
        <v>11585</v>
      </c>
      <c r="C127" s="22">
        <v>63175</v>
      </c>
      <c r="D127" s="22">
        <v>36211447</v>
      </c>
      <c r="E127" s="22">
        <v>14404660</v>
      </c>
      <c r="F127" s="22">
        <v>5989256</v>
      </c>
      <c r="G127" s="22">
        <v>3039379</v>
      </c>
      <c r="H127" s="22">
        <v>0</v>
      </c>
      <c r="I127" s="22">
        <v>130651</v>
      </c>
      <c r="J127" s="26">
        <v>8482991</v>
      </c>
      <c r="L127" s="32"/>
      <c r="M127" s="32"/>
      <c r="N127" s="32"/>
      <c r="O127" s="32"/>
      <c r="P127" s="32"/>
      <c r="Q127" s="32"/>
      <c r="R127" s="32"/>
      <c r="S127" s="32"/>
      <c r="T127" s="6"/>
    </row>
    <row r="128" spans="1:20" ht="15" customHeight="1" x14ac:dyDescent="0.2">
      <c r="A128" s="15" t="s">
        <v>88</v>
      </c>
      <c r="B128" s="22">
        <v>1485</v>
      </c>
      <c r="C128" s="22">
        <v>299507</v>
      </c>
      <c r="D128" s="22">
        <v>4445054</v>
      </c>
      <c r="E128" s="22">
        <v>2940792</v>
      </c>
      <c r="F128" s="22">
        <v>1134746</v>
      </c>
      <c r="G128" s="22">
        <v>172</v>
      </c>
      <c r="H128" s="22">
        <v>0</v>
      </c>
      <c r="I128" s="22">
        <v>0</v>
      </c>
      <c r="J128" s="26">
        <v>0</v>
      </c>
      <c r="L128" s="32"/>
      <c r="M128" s="32"/>
      <c r="N128" s="32"/>
      <c r="O128" s="32"/>
      <c r="P128" s="32"/>
      <c r="Q128" s="32"/>
      <c r="R128" s="32"/>
      <c r="S128" s="32"/>
      <c r="T128" s="6"/>
    </row>
    <row r="129" spans="1:20" ht="15" customHeight="1" x14ac:dyDescent="0.2">
      <c r="A129" s="15" t="s">
        <v>69</v>
      </c>
      <c r="B129" s="22">
        <v>1898</v>
      </c>
      <c r="C129" s="22">
        <v>1158</v>
      </c>
      <c r="D129" s="22">
        <v>300240</v>
      </c>
      <c r="E129" s="22">
        <v>50630</v>
      </c>
      <c r="F129" s="22">
        <v>1005</v>
      </c>
      <c r="G129" s="22">
        <v>9745</v>
      </c>
      <c r="H129" s="22">
        <v>1</v>
      </c>
      <c r="I129" s="22">
        <v>138244</v>
      </c>
      <c r="J129" s="26">
        <v>21652</v>
      </c>
      <c r="L129" s="32"/>
      <c r="M129" s="32"/>
      <c r="N129" s="32"/>
      <c r="O129" s="32"/>
      <c r="P129" s="32"/>
      <c r="Q129" s="32"/>
      <c r="R129" s="32"/>
      <c r="S129" s="32"/>
      <c r="T129" s="6"/>
    </row>
    <row r="130" spans="1:20" ht="15" customHeight="1" x14ac:dyDescent="0.2">
      <c r="A130" s="15" t="s">
        <v>6</v>
      </c>
      <c r="B130" s="22">
        <v>1492</v>
      </c>
      <c r="C130" s="22">
        <v>245</v>
      </c>
      <c r="D130" s="22">
        <v>7629</v>
      </c>
      <c r="E130" s="22">
        <v>172</v>
      </c>
      <c r="F130" s="22">
        <v>145</v>
      </c>
      <c r="G130" s="22">
        <v>1256</v>
      </c>
      <c r="H130" s="22">
        <v>1</v>
      </c>
      <c r="I130" s="22">
        <v>39</v>
      </c>
      <c r="J130" s="26">
        <v>0</v>
      </c>
      <c r="L130" s="32"/>
      <c r="M130" s="32"/>
      <c r="N130" s="32"/>
      <c r="O130" s="32"/>
      <c r="P130" s="32"/>
      <c r="Q130" s="32"/>
      <c r="R130" s="32"/>
      <c r="S130" s="32"/>
      <c r="T130" s="6"/>
    </row>
    <row r="131" spans="1:20" ht="15" customHeight="1" x14ac:dyDescent="0.2">
      <c r="A131" s="15" t="s">
        <v>7</v>
      </c>
      <c r="B131" s="22">
        <v>228</v>
      </c>
      <c r="C131" s="22">
        <v>642</v>
      </c>
      <c r="D131" s="22">
        <v>239351</v>
      </c>
      <c r="E131" s="22">
        <v>46130</v>
      </c>
      <c r="F131" s="22">
        <v>91</v>
      </c>
      <c r="G131" s="22">
        <v>7630</v>
      </c>
      <c r="H131" s="22">
        <v>0</v>
      </c>
      <c r="I131" s="22">
        <v>137856</v>
      </c>
      <c r="J131" s="26">
        <v>21652</v>
      </c>
      <c r="L131" s="32"/>
      <c r="M131" s="32"/>
      <c r="N131" s="32"/>
      <c r="O131" s="32"/>
      <c r="P131" s="32"/>
      <c r="Q131" s="32"/>
      <c r="R131" s="32"/>
      <c r="S131" s="32"/>
      <c r="T131" s="6"/>
    </row>
    <row r="132" spans="1:20" ht="15" customHeight="1" x14ac:dyDescent="0.2">
      <c r="A132" s="15" t="s">
        <v>88</v>
      </c>
      <c r="B132" s="22" t="s">
        <v>101</v>
      </c>
      <c r="C132" s="22" t="s">
        <v>101</v>
      </c>
      <c r="D132" s="22" t="s">
        <v>101</v>
      </c>
      <c r="E132" s="22">
        <v>0</v>
      </c>
      <c r="F132" s="22" t="s">
        <v>101</v>
      </c>
      <c r="G132" s="22">
        <v>0</v>
      </c>
      <c r="H132" s="22">
        <v>0</v>
      </c>
      <c r="I132" s="22">
        <v>0</v>
      </c>
      <c r="J132" s="26">
        <v>0</v>
      </c>
      <c r="L132" s="32"/>
      <c r="M132" s="32"/>
      <c r="N132" s="32"/>
      <c r="O132" s="32"/>
      <c r="P132" s="32"/>
      <c r="Q132" s="32"/>
      <c r="R132" s="32"/>
      <c r="S132" s="32"/>
      <c r="T132" s="6"/>
    </row>
    <row r="133" spans="1:20" ht="15" customHeight="1" x14ac:dyDescent="0.2">
      <c r="A133" s="16" t="s">
        <v>24</v>
      </c>
      <c r="B133" s="22">
        <v>469530</v>
      </c>
      <c r="C133" s="22">
        <v>659292</v>
      </c>
      <c r="D133" s="22">
        <v>39163874</v>
      </c>
      <c r="E133" s="22">
        <v>15266769</v>
      </c>
      <c r="F133" s="22">
        <v>9222816</v>
      </c>
      <c r="G133" s="22">
        <v>8413444</v>
      </c>
      <c r="H133" s="22">
        <v>150970</v>
      </c>
      <c r="I133" s="22">
        <v>204130</v>
      </c>
      <c r="J133" s="26">
        <v>367152</v>
      </c>
      <c r="L133" s="32"/>
      <c r="M133" s="32"/>
      <c r="N133" s="32"/>
      <c r="O133" s="32"/>
      <c r="P133" s="32"/>
      <c r="Q133" s="32"/>
      <c r="R133" s="32"/>
      <c r="S133" s="32"/>
      <c r="T133" s="6"/>
    </row>
    <row r="134" spans="1:20" ht="15" customHeight="1" x14ac:dyDescent="0.2">
      <c r="A134" s="15" t="s">
        <v>6</v>
      </c>
      <c r="B134" s="22">
        <v>401701</v>
      </c>
      <c r="C134" s="22">
        <v>67362</v>
      </c>
      <c r="D134" s="22">
        <v>1026223</v>
      </c>
      <c r="E134" s="22">
        <v>99147</v>
      </c>
      <c r="F134" s="22">
        <v>319915</v>
      </c>
      <c r="G134" s="22">
        <v>186127</v>
      </c>
      <c r="H134" s="22">
        <v>150970</v>
      </c>
      <c r="I134" s="22">
        <v>42960</v>
      </c>
      <c r="J134" s="26">
        <v>0</v>
      </c>
      <c r="L134" s="32"/>
      <c r="M134" s="32"/>
      <c r="N134" s="32"/>
      <c r="O134" s="32"/>
      <c r="P134" s="32"/>
      <c r="Q134" s="32"/>
      <c r="R134" s="32"/>
      <c r="S134" s="32"/>
      <c r="T134" s="6"/>
    </row>
    <row r="135" spans="1:20" ht="15" customHeight="1" x14ac:dyDescent="0.2">
      <c r="A135" s="15" t="s">
        <v>7</v>
      </c>
      <c r="B135" s="22">
        <v>31094</v>
      </c>
      <c r="C135" s="22">
        <v>287768</v>
      </c>
      <c r="D135" s="22">
        <v>29472672</v>
      </c>
      <c r="E135" s="22">
        <v>9887207</v>
      </c>
      <c r="F135" s="22">
        <v>6686429</v>
      </c>
      <c r="G135" s="22">
        <v>7948857</v>
      </c>
      <c r="H135" s="22">
        <v>0</v>
      </c>
      <c r="I135" s="22">
        <v>144682</v>
      </c>
      <c r="J135" s="26">
        <v>366753</v>
      </c>
      <c r="L135" s="32"/>
      <c r="M135" s="32"/>
      <c r="N135" s="32"/>
      <c r="O135" s="32"/>
      <c r="P135" s="32"/>
      <c r="Q135" s="32"/>
      <c r="R135" s="32"/>
      <c r="S135" s="32"/>
      <c r="T135" s="6"/>
    </row>
    <row r="136" spans="1:20" ht="15" customHeight="1" x14ac:dyDescent="0.2">
      <c r="A136" s="15" t="s">
        <v>88</v>
      </c>
      <c r="B136" s="22">
        <v>10321</v>
      </c>
      <c r="C136" s="22">
        <v>283107</v>
      </c>
      <c r="D136" s="22">
        <v>4410034</v>
      </c>
      <c r="E136" s="22">
        <v>2221427</v>
      </c>
      <c r="F136" s="22">
        <v>1820688</v>
      </c>
      <c r="G136" s="22">
        <v>863</v>
      </c>
      <c r="H136" s="22">
        <v>0</v>
      </c>
      <c r="I136" s="22">
        <v>0</v>
      </c>
      <c r="J136" s="26">
        <v>0</v>
      </c>
      <c r="L136" s="32"/>
      <c r="M136" s="32"/>
      <c r="N136" s="32"/>
      <c r="O136" s="32"/>
      <c r="P136" s="32"/>
      <c r="Q136" s="32"/>
      <c r="R136" s="32"/>
      <c r="S136" s="32"/>
      <c r="T136" s="6"/>
    </row>
    <row r="137" spans="1:20" ht="15" customHeight="1" x14ac:dyDescent="0.2">
      <c r="A137" s="16" t="s">
        <v>25</v>
      </c>
      <c r="B137" s="22">
        <v>23709</v>
      </c>
      <c r="C137" s="22">
        <v>15715</v>
      </c>
      <c r="D137" s="22">
        <v>198332</v>
      </c>
      <c r="E137" s="22">
        <v>61257</v>
      </c>
      <c r="F137" s="22">
        <v>13655</v>
      </c>
      <c r="G137" s="22">
        <v>7488</v>
      </c>
      <c r="H137" s="22">
        <v>35291</v>
      </c>
      <c r="I137" s="22">
        <v>4720</v>
      </c>
      <c r="J137" s="26">
        <v>0</v>
      </c>
      <c r="L137" s="32"/>
      <c r="M137" s="32"/>
      <c r="N137" s="32"/>
      <c r="O137" s="32"/>
      <c r="P137" s="32"/>
      <c r="Q137" s="32"/>
      <c r="R137" s="32"/>
      <c r="S137" s="32"/>
      <c r="T137" s="6"/>
    </row>
    <row r="138" spans="1:20" ht="15" customHeight="1" x14ac:dyDescent="0.2">
      <c r="A138" s="15" t="s">
        <v>6</v>
      </c>
      <c r="B138" s="22">
        <v>22047</v>
      </c>
      <c r="C138" s="22">
        <v>13945</v>
      </c>
      <c r="D138" s="22">
        <v>75881</v>
      </c>
      <c r="E138" s="22">
        <v>8223</v>
      </c>
      <c r="F138" s="22">
        <v>9026</v>
      </c>
      <c r="G138" s="22">
        <v>3373</v>
      </c>
      <c r="H138" s="22">
        <v>35291</v>
      </c>
      <c r="I138" s="22">
        <v>3570</v>
      </c>
      <c r="J138" s="26">
        <v>0</v>
      </c>
      <c r="L138" s="32"/>
      <c r="M138" s="32"/>
      <c r="N138" s="32"/>
      <c r="O138" s="32"/>
      <c r="P138" s="32"/>
      <c r="Q138" s="32"/>
      <c r="R138" s="32"/>
      <c r="S138" s="32"/>
      <c r="T138" s="6"/>
    </row>
    <row r="139" spans="1:20" ht="15" customHeight="1" x14ac:dyDescent="0.2">
      <c r="A139" s="15" t="s">
        <v>7</v>
      </c>
      <c r="B139" s="22">
        <v>464</v>
      </c>
      <c r="C139" s="22">
        <v>1002</v>
      </c>
      <c r="D139" s="22">
        <v>83434</v>
      </c>
      <c r="E139" s="22">
        <v>18891</v>
      </c>
      <c r="F139" s="22">
        <v>3381</v>
      </c>
      <c r="G139" s="22">
        <v>3328</v>
      </c>
      <c r="H139" s="22">
        <v>0</v>
      </c>
      <c r="I139" s="22">
        <v>937</v>
      </c>
      <c r="J139" s="26">
        <v>0</v>
      </c>
      <c r="L139" s="32"/>
      <c r="M139" s="32"/>
      <c r="N139" s="32"/>
      <c r="O139" s="32"/>
      <c r="P139" s="32"/>
      <c r="Q139" s="32"/>
      <c r="R139" s="32"/>
      <c r="S139" s="32"/>
      <c r="T139" s="6"/>
    </row>
    <row r="140" spans="1:20" ht="15" customHeight="1" x14ac:dyDescent="0.2">
      <c r="A140" s="15" t="s">
        <v>88</v>
      </c>
      <c r="B140" s="22">
        <v>6</v>
      </c>
      <c r="C140" s="22">
        <v>2</v>
      </c>
      <c r="D140" s="22">
        <v>2431</v>
      </c>
      <c r="E140" s="22">
        <v>2420</v>
      </c>
      <c r="F140" s="22" t="s">
        <v>101</v>
      </c>
      <c r="G140" s="22" t="s">
        <v>101</v>
      </c>
      <c r="H140" s="22">
        <v>0</v>
      </c>
      <c r="I140" s="22">
        <v>0</v>
      </c>
      <c r="J140" s="26">
        <v>0</v>
      </c>
      <c r="L140" s="32"/>
      <c r="M140" s="32"/>
      <c r="N140" s="32"/>
      <c r="O140" s="32"/>
      <c r="P140" s="32"/>
      <c r="Q140" s="32"/>
      <c r="R140" s="32"/>
      <c r="S140" s="32"/>
      <c r="T140" s="6"/>
    </row>
    <row r="141" spans="1:20" ht="15" customHeight="1" x14ac:dyDescent="0.2">
      <c r="A141" s="16" t="s">
        <v>106</v>
      </c>
      <c r="B141" s="22">
        <v>14558</v>
      </c>
      <c r="C141" s="22">
        <v>7959</v>
      </c>
      <c r="D141" s="22">
        <v>280198</v>
      </c>
      <c r="E141" s="22">
        <v>192973</v>
      </c>
      <c r="F141" s="22">
        <v>4686</v>
      </c>
      <c r="G141" s="22">
        <v>55713</v>
      </c>
      <c r="H141" s="22">
        <v>2918</v>
      </c>
      <c r="I141" s="22">
        <v>1877</v>
      </c>
      <c r="J141" s="26">
        <v>0</v>
      </c>
      <c r="L141" s="32"/>
      <c r="M141" s="32"/>
      <c r="N141" s="32"/>
      <c r="O141" s="32"/>
      <c r="P141" s="32"/>
      <c r="Q141" s="32"/>
      <c r="R141" s="32"/>
      <c r="S141" s="32"/>
      <c r="T141" s="6"/>
    </row>
    <row r="142" spans="1:20" ht="15" customHeight="1" x14ac:dyDescent="0.2">
      <c r="A142" s="15" t="s">
        <v>6</v>
      </c>
      <c r="B142" s="22">
        <v>11765</v>
      </c>
      <c r="C142" s="22">
        <v>6106</v>
      </c>
      <c r="D142" s="22">
        <v>35964</v>
      </c>
      <c r="E142" s="22">
        <v>11890</v>
      </c>
      <c r="F142" s="22">
        <v>3648</v>
      </c>
      <c r="G142" s="22">
        <v>709</v>
      </c>
      <c r="H142" s="22">
        <v>2918</v>
      </c>
      <c r="I142" s="22">
        <v>617</v>
      </c>
      <c r="J142" s="26">
        <v>0</v>
      </c>
      <c r="L142" s="32"/>
      <c r="M142" s="32"/>
      <c r="N142" s="32"/>
      <c r="O142" s="32"/>
      <c r="P142" s="32"/>
      <c r="Q142" s="32"/>
      <c r="R142" s="32"/>
      <c r="S142" s="32"/>
      <c r="T142" s="6"/>
    </row>
    <row r="143" spans="1:20" ht="15" customHeight="1" x14ac:dyDescent="0.2">
      <c r="A143" s="15" t="s">
        <v>7</v>
      </c>
      <c r="B143" s="22">
        <v>565</v>
      </c>
      <c r="C143" s="22">
        <v>510</v>
      </c>
      <c r="D143" s="22">
        <v>65559</v>
      </c>
      <c r="E143" s="22">
        <v>7539</v>
      </c>
      <c r="F143" s="22">
        <v>985</v>
      </c>
      <c r="G143" s="22">
        <v>54524</v>
      </c>
      <c r="H143" s="22">
        <v>0</v>
      </c>
      <c r="I143" s="22">
        <v>152</v>
      </c>
      <c r="J143" s="26">
        <v>0</v>
      </c>
      <c r="L143" s="32"/>
      <c r="M143" s="32"/>
      <c r="N143" s="32"/>
      <c r="O143" s="32"/>
      <c r="P143" s="32"/>
      <c r="Q143" s="32"/>
      <c r="R143" s="32"/>
      <c r="S143" s="32"/>
      <c r="T143" s="6"/>
    </row>
    <row r="144" spans="1:20" ht="15" customHeight="1" x14ac:dyDescent="0.2">
      <c r="A144" s="15" t="s">
        <v>88</v>
      </c>
      <c r="B144" s="22">
        <v>0</v>
      </c>
      <c r="C144" s="22">
        <v>0</v>
      </c>
      <c r="D144" s="22">
        <v>0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6">
        <v>0</v>
      </c>
      <c r="L144" s="32"/>
      <c r="M144" s="32"/>
      <c r="N144" s="32"/>
      <c r="O144" s="32"/>
      <c r="P144" s="32"/>
      <c r="Q144" s="32"/>
      <c r="R144" s="32"/>
      <c r="S144" s="32"/>
      <c r="T144" s="6"/>
    </row>
    <row r="145" spans="1:20" ht="15" customHeight="1" x14ac:dyDescent="0.2">
      <c r="A145" s="16" t="s">
        <v>26</v>
      </c>
      <c r="B145" s="22">
        <v>13105</v>
      </c>
      <c r="C145" s="22">
        <v>161747</v>
      </c>
      <c r="D145" s="22">
        <v>1932302</v>
      </c>
      <c r="E145" s="22">
        <v>1038982</v>
      </c>
      <c r="F145" s="22">
        <v>522152</v>
      </c>
      <c r="G145" s="22">
        <v>1114</v>
      </c>
      <c r="H145" s="22">
        <v>142</v>
      </c>
      <c r="I145" s="22">
        <v>1</v>
      </c>
      <c r="J145" s="26">
        <v>0</v>
      </c>
      <c r="L145" s="32"/>
      <c r="M145" s="32"/>
      <c r="N145" s="32"/>
      <c r="O145" s="32"/>
      <c r="P145" s="32"/>
      <c r="Q145" s="32"/>
      <c r="R145" s="32"/>
      <c r="S145" s="32"/>
      <c r="T145" s="6"/>
    </row>
    <row r="146" spans="1:20" ht="15" customHeight="1" x14ac:dyDescent="0.2">
      <c r="A146" s="15" t="s">
        <v>6</v>
      </c>
      <c r="B146" s="22">
        <v>325</v>
      </c>
      <c r="C146" s="22">
        <v>195</v>
      </c>
      <c r="D146" s="22">
        <v>5640</v>
      </c>
      <c r="E146" s="22">
        <v>2317</v>
      </c>
      <c r="F146" s="22">
        <v>329</v>
      </c>
      <c r="G146" s="22">
        <v>162</v>
      </c>
      <c r="H146" s="22">
        <v>142</v>
      </c>
      <c r="I146" s="22">
        <v>1</v>
      </c>
      <c r="J146" s="26">
        <v>0</v>
      </c>
      <c r="L146" s="32"/>
      <c r="M146" s="32"/>
      <c r="N146" s="32"/>
      <c r="O146" s="32"/>
      <c r="P146" s="32"/>
      <c r="Q146" s="32"/>
      <c r="R146" s="32"/>
      <c r="S146" s="32"/>
      <c r="T146" s="6"/>
    </row>
    <row r="147" spans="1:20" ht="15" customHeight="1" x14ac:dyDescent="0.2">
      <c r="A147" s="15" t="s">
        <v>7</v>
      </c>
      <c r="B147" s="22">
        <v>10506</v>
      </c>
      <c r="C147" s="22">
        <v>134697</v>
      </c>
      <c r="D147" s="22">
        <v>1495423</v>
      </c>
      <c r="E147" s="22">
        <v>895084</v>
      </c>
      <c r="F147" s="22">
        <v>387420</v>
      </c>
      <c r="G147" s="22">
        <v>625</v>
      </c>
      <c r="H147" s="22">
        <v>0</v>
      </c>
      <c r="I147" s="22">
        <v>0</v>
      </c>
      <c r="J147" s="26">
        <v>0</v>
      </c>
      <c r="L147" s="32"/>
      <c r="M147" s="32"/>
      <c r="N147" s="32"/>
      <c r="O147" s="32"/>
      <c r="P147" s="32"/>
      <c r="Q147" s="32"/>
      <c r="R147" s="32"/>
      <c r="S147" s="32"/>
      <c r="T147" s="6"/>
    </row>
    <row r="148" spans="1:20" ht="15" customHeight="1" x14ac:dyDescent="0.2">
      <c r="A148" s="15" t="s">
        <v>88</v>
      </c>
      <c r="B148" s="22">
        <v>159</v>
      </c>
      <c r="C148" s="22">
        <v>18069</v>
      </c>
      <c r="D148" s="22">
        <v>160905</v>
      </c>
      <c r="E148" s="22">
        <v>47242</v>
      </c>
      <c r="F148" s="22">
        <v>92260</v>
      </c>
      <c r="G148" s="22">
        <v>1</v>
      </c>
      <c r="H148" s="22">
        <v>0</v>
      </c>
      <c r="I148" s="22">
        <v>0</v>
      </c>
      <c r="J148" s="26">
        <v>0</v>
      </c>
      <c r="L148" s="32"/>
      <c r="M148" s="32"/>
      <c r="N148" s="32"/>
      <c r="O148" s="32"/>
      <c r="P148" s="32"/>
      <c r="Q148" s="32"/>
      <c r="R148" s="32"/>
      <c r="S148" s="32"/>
      <c r="T148" s="6"/>
    </row>
    <row r="149" spans="1:20" ht="15" customHeight="1" x14ac:dyDescent="0.2">
      <c r="A149" s="15" t="s">
        <v>113</v>
      </c>
      <c r="B149" s="22">
        <v>10508</v>
      </c>
      <c r="C149" s="22">
        <v>6377</v>
      </c>
      <c r="D149" s="22">
        <v>149374</v>
      </c>
      <c r="E149" s="22">
        <v>123943</v>
      </c>
      <c r="F149" s="22">
        <v>1306</v>
      </c>
      <c r="G149" s="22">
        <v>261</v>
      </c>
      <c r="H149" s="22">
        <v>1469</v>
      </c>
      <c r="I149" s="22">
        <v>518</v>
      </c>
      <c r="J149" s="26">
        <v>0</v>
      </c>
      <c r="L149" s="32"/>
      <c r="M149" s="32"/>
      <c r="N149" s="32"/>
      <c r="O149" s="32"/>
      <c r="P149" s="32"/>
      <c r="Q149" s="32"/>
      <c r="R149" s="32"/>
      <c r="S149" s="32"/>
      <c r="T149" s="6"/>
    </row>
    <row r="150" spans="1:20" ht="15" customHeight="1" x14ac:dyDescent="0.2">
      <c r="A150" s="15" t="s">
        <v>6</v>
      </c>
      <c r="B150" s="22">
        <v>8427</v>
      </c>
      <c r="C150" s="22">
        <v>4853</v>
      </c>
      <c r="D150" s="22">
        <v>24165</v>
      </c>
      <c r="E150" s="22">
        <v>5983</v>
      </c>
      <c r="F150" s="22">
        <v>771</v>
      </c>
      <c r="G150" s="22">
        <v>201</v>
      </c>
      <c r="H150" s="22">
        <v>1469</v>
      </c>
      <c r="I150" s="22">
        <v>205</v>
      </c>
      <c r="J150" s="26">
        <v>0</v>
      </c>
      <c r="L150" s="32"/>
      <c r="M150" s="32"/>
      <c r="N150" s="32"/>
      <c r="O150" s="32"/>
      <c r="P150" s="32"/>
      <c r="Q150" s="32"/>
      <c r="R150" s="32"/>
      <c r="S150" s="32"/>
      <c r="T150" s="6"/>
    </row>
    <row r="151" spans="1:20" ht="15" customHeight="1" x14ac:dyDescent="0.2">
      <c r="A151" s="15" t="s">
        <v>7</v>
      </c>
      <c r="B151" s="22">
        <v>212</v>
      </c>
      <c r="C151" s="22">
        <v>300</v>
      </c>
      <c r="D151" s="22">
        <v>90665</v>
      </c>
      <c r="E151" s="22">
        <v>89457</v>
      </c>
      <c r="F151" s="22">
        <v>415</v>
      </c>
      <c r="G151" s="22">
        <v>1</v>
      </c>
      <c r="H151" s="22">
        <v>0</v>
      </c>
      <c r="I151" s="22">
        <v>39</v>
      </c>
      <c r="J151" s="26">
        <v>0</v>
      </c>
      <c r="L151" s="32"/>
      <c r="M151" s="32"/>
      <c r="N151" s="32"/>
      <c r="O151" s="32"/>
      <c r="P151" s="32"/>
      <c r="Q151" s="32"/>
      <c r="R151" s="32"/>
      <c r="S151" s="32"/>
      <c r="T151" s="6"/>
    </row>
    <row r="152" spans="1:20" ht="15" customHeight="1" x14ac:dyDescent="0.2">
      <c r="A152" s="15" t="s">
        <v>88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6">
        <v>0</v>
      </c>
      <c r="L152" s="32"/>
      <c r="M152" s="32"/>
      <c r="N152" s="32"/>
      <c r="O152" s="32"/>
      <c r="P152" s="32"/>
      <c r="Q152" s="32"/>
      <c r="R152" s="32"/>
      <c r="S152" s="32"/>
      <c r="T152" s="6"/>
    </row>
    <row r="153" spans="1:20" ht="15" customHeight="1" x14ac:dyDescent="0.2">
      <c r="A153" s="16" t="s">
        <v>27</v>
      </c>
      <c r="B153" s="22">
        <v>96495</v>
      </c>
      <c r="C153" s="22">
        <v>379181</v>
      </c>
      <c r="D153" s="22">
        <v>9935257</v>
      </c>
      <c r="E153" s="22">
        <v>7311896</v>
      </c>
      <c r="F153" s="22">
        <v>1789702</v>
      </c>
      <c r="G153" s="22">
        <v>104490</v>
      </c>
      <c r="H153" s="22">
        <v>2537</v>
      </c>
      <c r="I153" s="22">
        <v>19338</v>
      </c>
      <c r="J153" s="26">
        <v>8</v>
      </c>
      <c r="L153" s="32"/>
      <c r="M153" s="32"/>
      <c r="N153" s="32"/>
      <c r="O153" s="32"/>
      <c r="P153" s="32"/>
      <c r="Q153" s="32"/>
      <c r="R153" s="32"/>
      <c r="S153" s="32"/>
      <c r="T153" s="6"/>
    </row>
    <row r="154" spans="1:20" ht="15" customHeight="1" x14ac:dyDescent="0.2">
      <c r="A154" s="15" t="s">
        <v>6</v>
      </c>
      <c r="B154" s="22">
        <v>84971</v>
      </c>
      <c r="C154" s="22">
        <v>53923</v>
      </c>
      <c r="D154" s="22">
        <v>322960</v>
      </c>
      <c r="E154" s="22">
        <v>83066</v>
      </c>
      <c r="F154" s="22">
        <v>145274</v>
      </c>
      <c r="G154" s="22">
        <v>6324</v>
      </c>
      <c r="H154" s="22">
        <v>2537</v>
      </c>
      <c r="I154" s="22">
        <v>7239</v>
      </c>
      <c r="J154" s="26">
        <v>0</v>
      </c>
      <c r="L154" s="32"/>
      <c r="M154" s="32"/>
      <c r="N154" s="32"/>
      <c r="O154" s="32"/>
      <c r="P154" s="32"/>
      <c r="Q154" s="32"/>
      <c r="R154" s="32"/>
      <c r="S154" s="32"/>
      <c r="T154" s="6"/>
    </row>
    <row r="155" spans="1:20" ht="15" customHeight="1" x14ac:dyDescent="0.2">
      <c r="A155" s="15" t="s">
        <v>7</v>
      </c>
      <c r="B155" s="22">
        <v>5306</v>
      </c>
      <c r="C155" s="22">
        <v>128037</v>
      </c>
      <c r="D155" s="22">
        <v>2775819</v>
      </c>
      <c r="E155" s="22">
        <v>2147214</v>
      </c>
      <c r="F155" s="22">
        <v>236336</v>
      </c>
      <c r="G155" s="22">
        <v>27293</v>
      </c>
      <c r="H155" s="22">
        <v>0</v>
      </c>
      <c r="I155" s="22">
        <v>7532</v>
      </c>
      <c r="J155" s="26">
        <v>8</v>
      </c>
      <c r="L155" s="32"/>
      <c r="M155" s="32"/>
      <c r="N155" s="32"/>
      <c r="O155" s="32"/>
      <c r="P155" s="32"/>
      <c r="Q155" s="32"/>
      <c r="R155" s="32"/>
      <c r="S155" s="32"/>
      <c r="T155" s="6"/>
    </row>
    <row r="156" spans="1:20" ht="15" customHeight="1" x14ac:dyDescent="0.2">
      <c r="A156" s="15" t="s">
        <v>88</v>
      </c>
      <c r="B156" s="22">
        <v>616</v>
      </c>
      <c r="C156" s="22">
        <v>173097</v>
      </c>
      <c r="D156" s="22">
        <v>2461629</v>
      </c>
      <c r="E156" s="22">
        <v>1764640</v>
      </c>
      <c r="F156" s="22">
        <v>681338</v>
      </c>
      <c r="G156" s="22">
        <v>73</v>
      </c>
      <c r="H156" s="22">
        <v>0</v>
      </c>
      <c r="I156" s="22">
        <v>0</v>
      </c>
      <c r="J156" s="26">
        <v>0</v>
      </c>
      <c r="L156" s="32"/>
      <c r="M156" s="32"/>
      <c r="N156" s="32"/>
      <c r="O156" s="32"/>
      <c r="P156" s="32"/>
      <c r="Q156" s="32"/>
      <c r="R156" s="32"/>
      <c r="S156" s="32"/>
      <c r="T156" s="6"/>
    </row>
    <row r="157" spans="1:20" ht="15" customHeight="1" x14ac:dyDescent="0.2">
      <c r="A157" s="16" t="s">
        <v>59</v>
      </c>
      <c r="B157" s="22">
        <v>14185</v>
      </c>
      <c r="C157" s="22">
        <v>22031</v>
      </c>
      <c r="D157" s="22">
        <v>2832389</v>
      </c>
      <c r="E157" s="22">
        <v>2131864</v>
      </c>
      <c r="F157" s="22">
        <v>248021</v>
      </c>
      <c r="G157" s="22">
        <v>94190</v>
      </c>
      <c r="H157" s="22">
        <v>3090</v>
      </c>
      <c r="I157" s="22">
        <v>3662</v>
      </c>
      <c r="J157" s="26">
        <v>0</v>
      </c>
      <c r="L157" s="32"/>
      <c r="M157" s="32"/>
      <c r="N157" s="32"/>
      <c r="O157" s="32"/>
      <c r="P157" s="32"/>
      <c r="Q157" s="32"/>
      <c r="R157" s="32"/>
      <c r="S157" s="32"/>
      <c r="T157" s="6"/>
    </row>
    <row r="158" spans="1:20" ht="15" customHeight="1" x14ac:dyDescent="0.2">
      <c r="A158" s="15" t="s">
        <v>6</v>
      </c>
      <c r="B158" s="22">
        <v>11659</v>
      </c>
      <c r="C158" s="22">
        <v>2205</v>
      </c>
      <c r="D158" s="22">
        <v>21435</v>
      </c>
      <c r="E158" s="22">
        <v>1181</v>
      </c>
      <c r="F158" s="22">
        <v>4394</v>
      </c>
      <c r="G158" s="22">
        <v>4076</v>
      </c>
      <c r="H158" s="22">
        <v>3090</v>
      </c>
      <c r="I158" s="22">
        <v>1841</v>
      </c>
      <c r="J158" s="26">
        <v>0</v>
      </c>
      <c r="L158" s="32"/>
      <c r="M158" s="32"/>
      <c r="N158" s="32"/>
      <c r="O158" s="32"/>
      <c r="P158" s="32"/>
      <c r="Q158" s="32"/>
      <c r="R158" s="32"/>
      <c r="S158" s="32"/>
      <c r="T158" s="6"/>
    </row>
    <row r="159" spans="1:20" ht="15" customHeight="1" x14ac:dyDescent="0.2">
      <c r="A159" s="15" t="s">
        <v>7</v>
      </c>
      <c r="B159" s="22">
        <v>775</v>
      </c>
      <c r="C159" s="22">
        <v>3747</v>
      </c>
      <c r="D159" s="22">
        <v>1299256</v>
      </c>
      <c r="E159" s="22">
        <v>1179841</v>
      </c>
      <c r="F159" s="22">
        <v>29753</v>
      </c>
      <c r="G159" s="22">
        <v>80505</v>
      </c>
      <c r="H159" s="22">
        <v>0</v>
      </c>
      <c r="I159" s="22">
        <v>1198</v>
      </c>
      <c r="J159" s="26">
        <v>0</v>
      </c>
      <c r="L159" s="32"/>
      <c r="M159" s="32"/>
      <c r="N159" s="32"/>
      <c r="O159" s="32"/>
      <c r="P159" s="32"/>
      <c r="Q159" s="32"/>
      <c r="R159" s="32"/>
      <c r="S159" s="32"/>
      <c r="T159" s="6"/>
    </row>
    <row r="160" spans="1:20" ht="15" customHeight="1" x14ac:dyDescent="0.2">
      <c r="A160" s="15" t="s">
        <v>88</v>
      </c>
      <c r="B160" s="22">
        <v>7</v>
      </c>
      <c r="C160" s="22">
        <v>0</v>
      </c>
      <c r="D160" s="22">
        <v>4</v>
      </c>
      <c r="E160" s="22">
        <v>2</v>
      </c>
      <c r="F160" s="22" t="s">
        <v>101</v>
      </c>
      <c r="G160" s="22">
        <v>2</v>
      </c>
      <c r="H160" s="22">
        <v>0</v>
      </c>
      <c r="I160" s="22">
        <v>0</v>
      </c>
      <c r="J160" s="26">
        <v>0</v>
      </c>
      <c r="L160" s="32"/>
      <c r="M160" s="32"/>
      <c r="N160" s="32"/>
      <c r="O160" s="32"/>
      <c r="P160" s="32"/>
      <c r="Q160" s="32"/>
      <c r="R160" s="32"/>
      <c r="S160" s="32"/>
      <c r="T160" s="6"/>
    </row>
    <row r="161" spans="1:20" ht="15" customHeight="1" x14ac:dyDescent="0.2">
      <c r="A161" s="16" t="s">
        <v>28</v>
      </c>
      <c r="B161" s="22">
        <v>239898</v>
      </c>
      <c r="C161" s="22">
        <v>127181</v>
      </c>
      <c r="D161" s="22">
        <v>11715324</v>
      </c>
      <c r="E161" s="22">
        <v>3241376</v>
      </c>
      <c r="F161" s="22">
        <v>412583</v>
      </c>
      <c r="G161" s="22">
        <v>727125</v>
      </c>
      <c r="H161" s="22">
        <v>5205</v>
      </c>
      <c r="I161" s="22">
        <v>1681353</v>
      </c>
      <c r="J161" s="26">
        <v>0</v>
      </c>
      <c r="L161" s="32"/>
      <c r="M161" s="32"/>
      <c r="N161" s="32"/>
      <c r="O161" s="32"/>
      <c r="P161" s="32"/>
      <c r="Q161" s="32"/>
      <c r="R161" s="32"/>
      <c r="S161" s="32"/>
      <c r="T161" s="6"/>
    </row>
    <row r="162" spans="1:20" ht="15" customHeight="1" x14ac:dyDescent="0.2">
      <c r="A162" s="15" t="s">
        <v>6</v>
      </c>
      <c r="B162" s="22">
        <v>191553</v>
      </c>
      <c r="C162" s="22">
        <v>36816</v>
      </c>
      <c r="D162" s="22">
        <v>255901</v>
      </c>
      <c r="E162" s="22">
        <v>15513</v>
      </c>
      <c r="F162" s="22">
        <v>53242</v>
      </c>
      <c r="G162" s="22">
        <v>12207</v>
      </c>
      <c r="H162" s="22">
        <v>5205</v>
      </c>
      <c r="I162" s="22">
        <v>33137</v>
      </c>
      <c r="J162" s="26">
        <v>0</v>
      </c>
      <c r="L162" s="32"/>
      <c r="M162" s="32"/>
      <c r="N162" s="32"/>
      <c r="O162" s="32"/>
      <c r="P162" s="32"/>
      <c r="Q162" s="32"/>
      <c r="R162" s="32"/>
      <c r="S162" s="32"/>
      <c r="T162" s="6"/>
    </row>
    <row r="163" spans="1:20" ht="15" customHeight="1" x14ac:dyDescent="0.2">
      <c r="A163" s="15" t="s">
        <v>7</v>
      </c>
      <c r="B163" s="22">
        <v>3382</v>
      </c>
      <c r="C163" s="22">
        <v>80810</v>
      </c>
      <c r="D163" s="22">
        <v>6714936</v>
      </c>
      <c r="E163" s="22">
        <v>208071</v>
      </c>
      <c r="F163" s="22">
        <v>344135</v>
      </c>
      <c r="G163" s="22">
        <v>339316</v>
      </c>
      <c r="H163" s="22">
        <v>0</v>
      </c>
      <c r="I163" s="22">
        <v>1621850</v>
      </c>
      <c r="J163" s="26">
        <v>0</v>
      </c>
      <c r="L163" s="32"/>
      <c r="M163" s="32"/>
      <c r="N163" s="32"/>
      <c r="O163" s="32"/>
      <c r="P163" s="32"/>
      <c r="Q163" s="32"/>
      <c r="R163" s="32"/>
      <c r="S163" s="32"/>
      <c r="T163" s="6"/>
    </row>
    <row r="164" spans="1:20" ht="15" customHeight="1" x14ac:dyDescent="0.2">
      <c r="A164" s="15" t="s">
        <v>88</v>
      </c>
      <c r="B164" s="22">
        <v>7</v>
      </c>
      <c r="C164" s="22">
        <v>30</v>
      </c>
      <c r="D164" s="22">
        <v>187</v>
      </c>
      <c r="E164" s="22">
        <v>0</v>
      </c>
      <c r="F164" s="22">
        <v>15</v>
      </c>
      <c r="G164" s="22">
        <v>172</v>
      </c>
      <c r="H164" s="22">
        <v>0</v>
      </c>
      <c r="I164" s="22">
        <v>0</v>
      </c>
      <c r="J164" s="26">
        <v>0</v>
      </c>
      <c r="L164" s="32"/>
      <c r="M164" s="32"/>
      <c r="N164" s="32"/>
      <c r="O164" s="32"/>
      <c r="P164" s="32"/>
      <c r="Q164" s="32"/>
      <c r="R164" s="32"/>
      <c r="S164" s="32"/>
      <c r="T164" s="6"/>
    </row>
    <row r="165" spans="1:20" ht="15" customHeight="1" x14ac:dyDescent="0.2">
      <c r="A165" s="15" t="s">
        <v>84</v>
      </c>
      <c r="B165" s="22">
        <v>19674</v>
      </c>
      <c r="C165" s="22">
        <v>3576</v>
      </c>
      <c r="D165" s="22">
        <v>792643</v>
      </c>
      <c r="E165" s="22">
        <v>761805</v>
      </c>
      <c r="F165" s="22">
        <v>7834</v>
      </c>
      <c r="G165" s="22">
        <v>7103</v>
      </c>
      <c r="H165" s="22">
        <v>598</v>
      </c>
      <c r="I165" s="22">
        <v>3107</v>
      </c>
      <c r="J165" s="26">
        <v>0</v>
      </c>
      <c r="L165" s="32"/>
      <c r="M165" s="32"/>
      <c r="N165" s="32"/>
      <c r="O165" s="32"/>
      <c r="P165" s="32"/>
      <c r="Q165" s="32"/>
      <c r="R165" s="32"/>
      <c r="S165" s="32"/>
      <c r="T165" s="6"/>
    </row>
    <row r="166" spans="1:20" ht="15" customHeight="1" x14ac:dyDescent="0.2">
      <c r="A166" s="15" t="s">
        <v>6</v>
      </c>
      <c r="B166" s="22">
        <v>18384</v>
      </c>
      <c r="C166" s="22">
        <v>2551</v>
      </c>
      <c r="D166" s="22">
        <v>23185</v>
      </c>
      <c r="E166" s="22">
        <v>2627</v>
      </c>
      <c r="F166" s="22">
        <v>4921</v>
      </c>
      <c r="G166" s="22">
        <v>4294</v>
      </c>
      <c r="H166" s="22">
        <v>598</v>
      </c>
      <c r="I166" s="22">
        <v>1471</v>
      </c>
      <c r="J166" s="26">
        <v>0</v>
      </c>
      <c r="L166" s="32"/>
      <c r="M166" s="32"/>
      <c r="N166" s="32"/>
      <c r="O166" s="32"/>
      <c r="P166" s="32"/>
      <c r="Q166" s="32"/>
      <c r="R166" s="32"/>
      <c r="S166" s="32"/>
      <c r="T166" s="6"/>
    </row>
    <row r="167" spans="1:20" ht="15" customHeight="1" x14ac:dyDescent="0.2">
      <c r="A167" s="15" t="s">
        <v>7</v>
      </c>
      <c r="B167" s="22">
        <v>334</v>
      </c>
      <c r="C167" s="22">
        <v>325</v>
      </c>
      <c r="D167" s="22">
        <v>36306</v>
      </c>
      <c r="E167" s="22">
        <v>32535</v>
      </c>
      <c r="F167" s="22">
        <v>1309</v>
      </c>
      <c r="G167" s="22">
        <v>794</v>
      </c>
      <c r="H167" s="22">
        <v>0</v>
      </c>
      <c r="I167" s="22">
        <v>1287</v>
      </c>
      <c r="J167" s="26">
        <v>0</v>
      </c>
      <c r="L167" s="32"/>
      <c r="M167" s="32"/>
      <c r="N167" s="32"/>
      <c r="O167" s="32"/>
      <c r="P167" s="32"/>
      <c r="Q167" s="32"/>
      <c r="R167" s="32"/>
      <c r="S167" s="32"/>
      <c r="T167" s="6"/>
    </row>
    <row r="168" spans="1:20" ht="15" customHeight="1" x14ac:dyDescent="0.2">
      <c r="A168" s="15" t="s">
        <v>88</v>
      </c>
      <c r="B168" s="22" t="s">
        <v>101</v>
      </c>
      <c r="C168" s="22" t="s">
        <v>101</v>
      </c>
      <c r="D168" s="22" t="s">
        <v>101</v>
      </c>
      <c r="E168" s="22" t="s">
        <v>101</v>
      </c>
      <c r="F168" s="22" t="s">
        <v>101</v>
      </c>
      <c r="G168" s="22">
        <v>0</v>
      </c>
      <c r="H168" s="22">
        <v>0</v>
      </c>
      <c r="I168" s="22">
        <v>0</v>
      </c>
      <c r="J168" s="26">
        <v>0</v>
      </c>
      <c r="L168" s="32"/>
      <c r="M168" s="32"/>
      <c r="N168" s="32"/>
      <c r="O168" s="32"/>
      <c r="P168" s="32"/>
      <c r="Q168" s="32"/>
      <c r="R168" s="32"/>
      <c r="S168" s="32"/>
      <c r="T168" s="6"/>
    </row>
    <row r="169" spans="1:20" ht="15" customHeight="1" x14ac:dyDescent="0.2">
      <c r="A169" s="15" t="s">
        <v>107</v>
      </c>
      <c r="B169" s="22">
        <v>1450</v>
      </c>
      <c r="C169" s="22">
        <v>683</v>
      </c>
      <c r="D169" s="22">
        <v>593515</v>
      </c>
      <c r="E169" s="22">
        <v>590024</v>
      </c>
      <c r="F169" s="22">
        <v>21</v>
      </c>
      <c r="G169" s="22">
        <v>52</v>
      </c>
      <c r="H169" s="22">
        <v>0</v>
      </c>
      <c r="I169" s="22">
        <v>8</v>
      </c>
      <c r="J169" s="26">
        <v>0</v>
      </c>
      <c r="L169" s="32"/>
      <c r="M169" s="32"/>
      <c r="N169" s="32"/>
      <c r="O169" s="32"/>
      <c r="P169" s="32"/>
      <c r="Q169" s="32"/>
      <c r="R169" s="32"/>
      <c r="S169" s="32"/>
      <c r="T169" s="6"/>
    </row>
    <row r="170" spans="1:20" ht="15" customHeight="1" x14ac:dyDescent="0.2">
      <c r="A170" s="15" t="s">
        <v>6</v>
      </c>
      <c r="B170" s="22">
        <v>1424</v>
      </c>
      <c r="C170" s="22">
        <v>483</v>
      </c>
      <c r="D170" s="22">
        <v>2911</v>
      </c>
      <c r="E170" s="22">
        <v>117</v>
      </c>
      <c r="F170" s="22">
        <v>21</v>
      </c>
      <c r="G170" s="22">
        <v>50</v>
      </c>
      <c r="H170" s="22">
        <v>0</v>
      </c>
      <c r="I170" s="22">
        <v>8</v>
      </c>
      <c r="J170" s="26">
        <v>0</v>
      </c>
      <c r="L170" s="32"/>
      <c r="M170" s="32"/>
      <c r="N170" s="32"/>
      <c r="O170" s="32"/>
      <c r="P170" s="32"/>
      <c r="Q170" s="32"/>
      <c r="R170" s="32"/>
      <c r="S170" s="32"/>
      <c r="T170" s="6"/>
    </row>
    <row r="171" spans="1:20" ht="15" customHeight="1" x14ac:dyDescent="0.2">
      <c r="A171" s="15" t="s">
        <v>7</v>
      </c>
      <c r="B171" s="22">
        <v>12</v>
      </c>
      <c r="C171" s="22">
        <v>199</v>
      </c>
      <c r="D171" s="22">
        <v>695</v>
      </c>
      <c r="E171" s="22">
        <v>4</v>
      </c>
      <c r="F171" s="22">
        <v>0</v>
      </c>
      <c r="G171" s="22">
        <v>1</v>
      </c>
      <c r="H171" s="22">
        <v>0</v>
      </c>
      <c r="I171" s="22">
        <v>0</v>
      </c>
      <c r="J171" s="26">
        <v>0</v>
      </c>
      <c r="L171" s="32"/>
      <c r="M171" s="32"/>
      <c r="N171" s="32"/>
      <c r="O171" s="32"/>
      <c r="P171" s="32"/>
      <c r="Q171" s="32"/>
      <c r="R171" s="32"/>
      <c r="S171" s="32"/>
      <c r="T171" s="6"/>
    </row>
    <row r="172" spans="1:20" ht="15" customHeight="1" x14ac:dyDescent="0.2">
      <c r="A172" s="15" t="s">
        <v>88</v>
      </c>
      <c r="B172" s="22">
        <v>0</v>
      </c>
      <c r="C172" s="22">
        <v>0</v>
      </c>
      <c r="D172" s="22">
        <v>0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6">
        <v>0</v>
      </c>
      <c r="L172" s="32"/>
      <c r="M172" s="32"/>
      <c r="N172" s="32"/>
      <c r="O172" s="32"/>
      <c r="P172" s="32"/>
      <c r="Q172" s="32"/>
      <c r="R172" s="32"/>
      <c r="S172" s="32"/>
      <c r="T172" s="6"/>
    </row>
    <row r="173" spans="1:20" ht="15" customHeight="1" x14ac:dyDescent="0.2">
      <c r="A173" s="16" t="s">
        <v>29</v>
      </c>
      <c r="B173" s="22">
        <v>106738</v>
      </c>
      <c r="C173" s="22">
        <v>1467250</v>
      </c>
      <c r="D173" s="22">
        <v>47629231</v>
      </c>
      <c r="E173" s="22">
        <v>28513426</v>
      </c>
      <c r="F173" s="22">
        <v>6635659</v>
      </c>
      <c r="G173" s="22">
        <v>6652605</v>
      </c>
      <c r="H173" s="22">
        <v>28371</v>
      </c>
      <c r="I173" s="22">
        <v>894538</v>
      </c>
      <c r="J173" s="26">
        <v>306</v>
      </c>
      <c r="L173" s="32"/>
      <c r="M173" s="32"/>
      <c r="N173" s="32"/>
      <c r="O173" s="32"/>
      <c r="P173" s="32"/>
      <c r="Q173" s="32"/>
      <c r="R173" s="32"/>
      <c r="S173" s="32"/>
      <c r="T173" s="6"/>
    </row>
    <row r="174" spans="1:20" ht="15" customHeight="1" x14ac:dyDescent="0.2">
      <c r="A174" s="15" t="s">
        <v>6</v>
      </c>
      <c r="B174" s="22">
        <v>76180</v>
      </c>
      <c r="C174" s="22">
        <v>10441</v>
      </c>
      <c r="D174" s="22">
        <v>124430</v>
      </c>
      <c r="E174" s="22">
        <v>6794</v>
      </c>
      <c r="F174" s="22">
        <v>45909</v>
      </c>
      <c r="G174" s="22">
        <v>13740</v>
      </c>
      <c r="H174" s="22">
        <v>28371</v>
      </c>
      <c r="I174" s="22">
        <v>2968</v>
      </c>
      <c r="J174" s="26">
        <v>0</v>
      </c>
      <c r="L174" s="32"/>
      <c r="M174" s="32"/>
      <c r="N174" s="32"/>
      <c r="O174" s="32"/>
      <c r="P174" s="32"/>
      <c r="Q174" s="32"/>
      <c r="R174" s="32"/>
      <c r="S174" s="32"/>
      <c r="T174" s="6"/>
    </row>
    <row r="175" spans="1:20" ht="15" customHeight="1" x14ac:dyDescent="0.2">
      <c r="A175" s="15" t="s">
        <v>7</v>
      </c>
      <c r="B175" s="22">
        <v>21429</v>
      </c>
      <c r="C175" s="22">
        <v>1413274</v>
      </c>
      <c r="D175" s="22">
        <v>40272087</v>
      </c>
      <c r="E175" s="22">
        <v>26241396</v>
      </c>
      <c r="F175" s="22">
        <v>6391360</v>
      </c>
      <c r="G175" s="22">
        <v>2773123</v>
      </c>
      <c r="H175" s="22">
        <v>0</v>
      </c>
      <c r="I175" s="22">
        <v>760378</v>
      </c>
      <c r="J175" s="26">
        <v>306</v>
      </c>
      <c r="L175" s="32"/>
      <c r="M175" s="32"/>
      <c r="N175" s="32"/>
      <c r="O175" s="32"/>
      <c r="P175" s="32"/>
      <c r="Q175" s="32"/>
      <c r="R175" s="32"/>
      <c r="S175" s="32"/>
      <c r="T175" s="6"/>
    </row>
    <row r="176" spans="1:20" ht="15" customHeight="1" x14ac:dyDescent="0.2">
      <c r="A176" s="15" t="s">
        <v>88</v>
      </c>
      <c r="B176" s="22">
        <v>70</v>
      </c>
      <c r="C176" s="22">
        <v>8456</v>
      </c>
      <c r="D176" s="22">
        <v>54036</v>
      </c>
      <c r="E176" s="22">
        <v>6811</v>
      </c>
      <c r="F176" s="22">
        <v>29913</v>
      </c>
      <c r="G176" s="22">
        <v>1771</v>
      </c>
      <c r="H176" s="22">
        <v>0</v>
      </c>
      <c r="I176" s="22">
        <v>0</v>
      </c>
      <c r="J176" s="26">
        <v>0</v>
      </c>
      <c r="L176" s="32"/>
      <c r="M176" s="32"/>
      <c r="N176" s="32"/>
      <c r="O176" s="32"/>
      <c r="P176" s="32"/>
      <c r="Q176" s="32"/>
      <c r="R176" s="32"/>
      <c r="S176" s="32"/>
      <c r="T176" s="6"/>
    </row>
    <row r="177" spans="1:20" ht="15" customHeight="1" x14ac:dyDescent="0.2">
      <c r="A177" s="16" t="s">
        <v>30</v>
      </c>
      <c r="B177" s="22">
        <v>97331</v>
      </c>
      <c r="C177" s="22">
        <v>309086</v>
      </c>
      <c r="D177" s="22">
        <v>4330668</v>
      </c>
      <c r="E177" s="22">
        <v>2641249</v>
      </c>
      <c r="F177" s="22">
        <v>966070</v>
      </c>
      <c r="G177" s="22">
        <v>260847</v>
      </c>
      <c r="H177" s="22">
        <v>17138</v>
      </c>
      <c r="I177" s="22">
        <v>43596</v>
      </c>
      <c r="J177" s="26">
        <v>0</v>
      </c>
      <c r="L177" s="32"/>
      <c r="M177" s="32"/>
      <c r="N177" s="32"/>
      <c r="O177" s="32"/>
      <c r="P177" s="32"/>
      <c r="Q177" s="32"/>
      <c r="R177" s="32"/>
      <c r="S177" s="32"/>
      <c r="T177" s="6"/>
    </row>
    <row r="178" spans="1:20" ht="15" customHeight="1" x14ac:dyDescent="0.2">
      <c r="A178" s="15" t="s">
        <v>6</v>
      </c>
      <c r="B178" s="22">
        <v>74393</v>
      </c>
      <c r="C178" s="22">
        <v>32151</v>
      </c>
      <c r="D178" s="22">
        <v>343919</v>
      </c>
      <c r="E178" s="22">
        <v>115037</v>
      </c>
      <c r="F178" s="22">
        <v>57671</v>
      </c>
      <c r="G178" s="22">
        <v>82285</v>
      </c>
      <c r="H178" s="22">
        <v>17138</v>
      </c>
      <c r="I178" s="22">
        <v>22484</v>
      </c>
      <c r="J178" s="26">
        <v>0</v>
      </c>
      <c r="L178" s="32"/>
      <c r="M178" s="32"/>
      <c r="N178" s="32"/>
      <c r="O178" s="32"/>
      <c r="P178" s="32"/>
      <c r="Q178" s="32"/>
      <c r="R178" s="32"/>
      <c r="S178" s="32"/>
      <c r="T178" s="6"/>
    </row>
    <row r="179" spans="1:20" ht="15" customHeight="1" x14ac:dyDescent="0.2">
      <c r="A179" s="15" t="s">
        <v>7</v>
      </c>
      <c r="B179" s="22">
        <v>13971</v>
      </c>
      <c r="C179" s="22">
        <v>111299</v>
      </c>
      <c r="D179" s="22">
        <v>1549405</v>
      </c>
      <c r="E179" s="22">
        <v>889475</v>
      </c>
      <c r="F179" s="22">
        <v>278214</v>
      </c>
      <c r="G179" s="22">
        <v>146191</v>
      </c>
      <c r="H179" s="22">
        <v>0</v>
      </c>
      <c r="I179" s="22">
        <v>19226</v>
      </c>
      <c r="J179" s="26">
        <v>0</v>
      </c>
      <c r="L179" s="32"/>
      <c r="M179" s="32"/>
      <c r="N179" s="32"/>
      <c r="O179" s="32"/>
      <c r="P179" s="32"/>
      <c r="Q179" s="32"/>
      <c r="R179" s="32"/>
      <c r="S179" s="32"/>
      <c r="T179" s="6"/>
    </row>
    <row r="180" spans="1:20" ht="15" customHeight="1" x14ac:dyDescent="0.2">
      <c r="A180" s="15" t="s">
        <v>88</v>
      </c>
      <c r="B180" s="22">
        <v>257</v>
      </c>
      <c r="C180" s="22">
        <v>133656</v>
      </c>
      <c r="D180" s="22">
        <v>1293819</v>
      </c>
      <c r="E180" s="22">
        <v>721082</v>
      </c>
      <c r="F180" s="22">
        <v>520810</v>
      </c>
      <c r="G180" s="22">
        <v>60</v>
      </c>
      <c r="H180" s="22">
        <v>0</v>
      </c>
      <c r="I180" s="22">
        <v>0</v>
      </c>
      <c r="J180" s="26">
        <v>0</v>
      </c>
      <c r="L180" s="32"/>
      <c r="M180" s="32"/>
      <c r="N180" s="32"/>
      <c r="O180" s="32"/>
      <c r="P180" s="32"/>
      <c r="Q180" s="32"/>
      <c r="R180" s="32"/>
      <c r="S180" s="32"/>
      <c r="T180" s="6"/>
    </row>
    <row r="181" spans="1:20" ht="15" customHeight="1" x14ac:dyDescent="0.2">
      <c r="A181" s="16" t="s">
        <v>31</v>
      </c>
      <c r="B181" s="22">
        <v>105810</v>
      </c>
      <c r="C181" s="22">
        <v>171210</v>
      </c>
      <c r="D181" s="22">
        <v>4462454</v>
      </c>
      <c r="E181" s="22">
        <v>1714465</v>
      </c>
      <c r="F181" s="22">
        <v>1193824</v>
      </c>
      <c r="G181" s="22">
        <v>431802</v>
      </c>
      <c r="H181" s="22">
        <v>95380</v>
      </c>
      <c r="I181" s="22">
        <v>78539</v>
      </c>
      <c r="J181" s="26">
        <v>78386</v>
      </c>
      <c r="L181" s="32"/>
      <c r="M181" s="32"/>
      <c r="N181" s="32"/>
      <c r="O181" s="32"/>
      <c r="P181" s="32"/>
      <c r="Q181" s="32"/>
      <c r="R181" s="32"/>
      <c r="S181" s="32"/>
      <c r="T181" s="6"/>
    </row>
    <row r="182" spans="1:20" ht="15" customHeight="1" x14ac:dyDescent="0.2">
      <c r="A182" s="15" t="s">
        <v>6</v>
      </c>
      <c r="B182" s="22">
        <v>88610</v>
      </c>
      <c r="C182" s="22">
        <v>14806</v>
      </c>
      <c r="D182" s="22">
        <v>311735</v>
      </c>
      <c r="E182" s="22">
        <v>26922</v>
      </c>
      <c r="F182" s="22">
        <v>37072</v>
      </c>
      <c r="G182" s="22">
        <v>24239</v>
      </c>
      <c r="H182" s="22">
        <v>95380</v>
      </c>
      <c r="I182" s="22">
        <v>31263</v>
      </c>
      <c r="J182" s="26">
        <v>0</v>
      </c>
      <c r="L182" s="32"/>
      <c r="M182" s="32"/>
      <c r="N182" s="32"/>
      <c r="O182" s="32"/>
      <c r="P182" s="32"/>
      <c r="Q182" s="32"/>
      <c r="R182" s="32"/>
      <c r="S182" s="32"/>
      <c r="T182" s="6"/>
    </row>
    <row r="183" spans="1:20" ht="15" customHeight="1" x14ac:dyDescent="0.2">
      <c r="A183" s="15" t="s">
        <v>7</v>
      </c>
      <c r="B183" s="22">
        <v>5466</v>
      </c>
      <c r="C183" s="22">
        <v>95578</v>
      </c>
      <c r="D183" s="22">
        <v>2499900</v>
      </c>
      <c r="E183" s="22">
        <v>572412</v>
      </c>
      <c r="F183" s="22">
        <v>731822</v>
      </c>
      <c r="G183" s="22">
        <v>370810</v>
      </c>
      <c r="H183" s="22">
        <v>0</v>
      </c>
      <c r="I183" s="22">
        <v>44187</v>
      </c>
      <c r="J183" s="26">
        <v>53221</v>
      </c>
      <c r="L183" s="32"/>
      <c r="M183" s="32"/>
      <c r="N183" s="32"/>
      <c r="O183" s="32"/>
      <c r="P183" s="32"/>
      <c r="Q183" s="32"/>
      <c r="R183" s="32"/>
      <c r="S183" s="32"/>
      <c r="T183" s="6"/>
    </row>
    <row r="184" spans="1:20" ht="15" customHeight="1" x14ac:dyDescent="0.2">
      <c r="A184" s="15" t="s">
        <v>88</v>
      </c>
      <c r="B184" s="22">
        <v>1396</v>
      </c>
      <c r="C184" s="22">
        <v>47599</v>
      </c>
      <c r="D184" s="22">
        <v>1008607</v>
      </c>
      <c r="E184" s="22">
        <v>652506</v>
      </c>
      <c r="F184" s="22">
        <v>341062</v>
      </c>
      <c r="G184" s="22">
        <v>241</v>
      </c>
      <c r="H184" s="22">
        <v>0</v>
      </c>
      <c r="I184" s="22">
        <v>0</v>
      </c>
      <c r="J184" s="26">
        <v>0</v>
      </c>
      <c r="L184" s="32"/>
      <c r="M184" s="32"/>
      <c r="N184" s="32"/>
      <c r="O184" s="32"/>
      <c r="P184" s="32"/>
      <c r="Q184" s="32"/>
      <c r="R184" s="32"/>
      <c r="S184" s="32"/>
      <c r="T184" s="6"/>
    </row>
    <row r="185" spans="1:20" ht="15" customHeight="1" x14ac:dyDescent="0.2">
      <c r="A185" s="15" t="s">
        <v>114</v>
      </c>
      <c r="B185" s="22">
        <v>1141</v>
      </c>
      <c r="C185" s="22">
        <v>276</v>
      </c>
      <c r="D185" s="22">
        <v>131377</v>
      </c>
      <c r="E185" s="22">
        <v>121042</v>
      </c>
      <c r="F185" s="22">
        <v>9135</v>
      </c>
      <c r="G185" s="22">
        <v>111</v>
      </c>
      <c r="H185" s="22">
        <v>9</v>
      </c>
      <c r="I185" s="22">
        <v>489</v>
      </c>
      <c r="J185" s="26">
        <v>0</v>
      </c>
      <c r="L185" s="32"/>
      <c r="M185" s="32"/>
      <c r="N185" s="32"/>
      <c r="O185" s="32"/>
      <c r="P185" s="32"/>
      <c r="Q185" s="32"/>
      <c r="R185" s="32"/>
      <c r="S185" s="32"/>
      <c r="T185" s="6"/>
    </row>
    <row r="186" spans="1:20" ht="15" customHeight="1" x14ac:dyDescent="0.2">
      <c r="A186" s="15" t="s">
        <v>6</v>
      </c>
      <c r="B186" s="22">
        <v>1090</v>
      </c>
      <c r="C186" s="22">
        <v>127</v>
      </c>
      <c r="D186" s="22">
        <v>969</v>
      </c>
      <c r="E186" s="22">
        <v>217</v>
      </c>
      <c r="F186" s="22">
        <v>44</v>
      </c>
      <c r="G186" s="22">
        <v>101</v>
      </c>
      <c r="H186" s="22">
        <v>9</v>
      </c>
      <c r="I186" s="22">
        <v>15</v>
      </c>
      <c r="J186" s="26">
        <v>0</v>
      </c>
      <c r="L186" s="32"/>
      <c r="M186" s="32"/>
      <c r="N186" s="32"/>
      <c r="O186" s="32"/>
      <c r="P186" s="32"/>
      <c r="Q186" s="32"/>
      <c r="R186" s="32"/>
      <c r="S186" s="32"/>
      <c r="T186" s="6"/>
    </row>
    <row r="187" spans="1:20" ht="15" customHeight="1" x14ac:dyDescent="0.2">
      <c r="A187" s="15" t="s">
        <v>7</v>
      </c>
      <c r="B187" s="22">
        <v>13</v>
      </c>
      <c r="C187" s="22">
        <v>3</v>
      </c>
      <c r="D187" s="22">
        <v>4893</v>
      </c>
      <c r="E187" s="22">
        <v>4882</v>
      </c>
      <c r="F187" s="22">
        <v>1</v>
      </c>
      <c r="G187" s="22">
        <v>10</v>
      </c>
      <c r="H187" s="22">
        <v>0</v>
      </c>
      <c r="I187" s="22">
        <v>0</v>
      </c>
      <c r="J187" s="26">
        <v>0</v>
      </c>
      <c r="L187" s="32"/>
      <c r="M187" s="32"/>
      <c r="N187" s="32"/>
      <c r="O187" s="32"/>
      <c r="P187" s="32"/>
      <c r="Q187" s="32"/>
      <c r="R187" s="32"/>
      <c r="S187" s="32"/>
      <c r="T187" s="6"/>
    </row>
    <row r="188" spans="1:20" ht="15" customHeight="1" x14ac:dyDescent="0.2">
      <c r="A188" s="15" t="s">
        <v>88</v>
      </c>
      <c r="B188" s="22" t="s">
        <v>101</v>
      </c>
      <c r="C188" s="22" t="s">
        <v>101</v>
      </c>
      <c r="D188" s="22" t="s">
        <v>101</v>
      </c>
      <c r="E188" s="22">
        <v>0</v>
      </c>
      <c r="F188" s="22" t="s">
        <v>101</v>
      </c>
      <c r="G188" s="22" t="s">
        <v>101</v>
      </c>
      <c r="H188" s="22">
        <v>0</v>
      </c>
      <c r="I188" s="22">
        <v>0</v>
      </c>
      <c r="J188" s="26">
        <v>0</v>
      </c>
      <c r="L188" s="32"/>
      <c r="M188" s="32"/>
      <c r="N188" s="32"/>
      <c r="O188" s="32"/>
      <c r="P188" s="32"/>
      <c r="Q188" s="32"/>
      <c r="R188" s="32"/>
      <c r="S188" s="32"/>
      <c r="T188" s="6"/>
    </row>
    <row r="189" spans="1:20" ht="15" customHeight="1" x14ac:dyDescent="0.2">
      <c r="A189" s="15" t="s">
        <v>70</v>
      </c>
      <c r="B189" s="22">
        <v>7158</v>
      </c>
      <c r="C189" s="22">
        <v>4550</v>
      </c>
      <c r="D189" s="22">
        <v>210270</v>
      </c>
      <c r="E189" s="22">
        <v>173118</v>
      </c>
      <c r="F189" s="22">
        <v>5039</v>
      </c>
      <c r="G189" s="22">
        <v>12117</v>
      </c>
      <c r="H189" s="22">
        <v>4085</v>
      </c>
      <c r="I189" s="22">
        <v>3435</v>
      </c>
      <c r="J189" s="26">
        <v>0</v>
      </c>
      <c r="L189" s="32"/>
      <c r="M189" s="32"/>
      <c r="N189" s="32"/>
      <c r="O189" s="32"/>
      <c r="P189" s="32"/>
      <c r="Q189" s="32"/>
      <c r="R189" s="32"/>
      <c r="S189" s="32"/>
      <c r="T189" s="6"/>
    </row>
    <row r="190" spans="1:20" ht="15" customHeight="1" x14ac:dyDescent="0.2">
      <c r="A190" s="15" t="s">
        <v>6</v>
      </c>
      <c r="B190" s="22">
        <v>5429</v>
      </c>
      <c r="C190" s="22">
        <v>2584</v>
      </c>
      <c r="D190" s="22">
        <v>18197</v>
      </c>
      <c r="E190" s="22">
        <v>2361</v>
      </c>
      <c r="F190" s="22">
        <v>1493</v>
      </c>
      <c r="G190" s="22">
        <v>1289</v>
      </c>
      <c r="H190" s="22">
        <v>4085</v>
      </c>
      <c r="I190" s="22">
        <v>1350</v>
      </c>
      <c r="J190" s="26">
        <v>0</v>
      </c>
      <c r="L190" s="32"/>
      <c r="M190" s="32"/>
      <c r="N190" s="32"/>
      <c r="O190" s="32"/>
      <c r="P190" s="32"/>
      <c r="Q190" s="32"/>
      <c r="R190" s="32"/>
      <c r="S190" s="32"/>
      <c r="T190" s="6"/>
    </row>
    <row r="191" spans="1:20" ht="15" customHeight="1" x14ac:dyDescent="0.2">
      <c r="A191" s="15" t="s">
        <v>7</v>
      </c>
      <c r="B191" s="22">
        <v>664</v>
      </c>
      <c r="C191" s="22">
        <v>809</v>
      </c>
      <c r="D191" s="22">
        <v>164825</v>
      </c>
      <c r="E191" s="22">
        <v>158218</v>
      </c>
      <c r="F191" s="22">
        <v>3263</v>
      </c>
      <c r="G191" s="22">
        <v>934</v>
      </c>
      <c r="H191" s="22">
        <v>0</v>
      </c>
      <c r="I191" s="22">
        <v>6</v>
      </c>
      <c r="J191" s="26">
        <v>0</v>
      </c>
      <c r="L191" s="32"/>
      <c r="M191" s="32"/>
      <c r="N191" s="32"/>
      <c r="O191" s="32"/>
      <c r="P191" s="32"/>
      <c r="Q191" s="32"/>
      <c r="R191" s="32"/>
      <c r="S191" s="32"/>
      <c r="T191" s="6"/>
    </row>
    <row r="192" spans="1:20" ht="15" customHeight="1" x14ac:dyDescent="0.2">
      <c r="A192" s="15" t="s">
        <v>88</v>
      </c>
      <c r="B192" s="22" t="s">
        <v>101</v>
      </c>
      <c r="C192" s="22" t="s">
        <v>101</v>
      </c>
      <c r="D192" s="22" t="s">
        <v>101</v>
      </c>
      <c r="E192" s="22">
        <v>0</v>
      </c>
      <c r="F192" s="22">
        <v>0</v>
      </c>
      <c r="G192" s="22" t="s">
        <v>101</v>
      </c>
      <c r="H192" s="22">
        <v>0</v>
      </c>
      <c r="I192" s="22">
        <v>0</v>
      </c>
      <c r="J192" s="26">
        <v>0</v>
      </c>
      <c r="L192" s="32"/>
      <c r="M192" s="32"/>
      <c r="N192" s="32"/>
      <c r="O192" s="32"/>
      <c r="P192" s="32"/>
      <c r="Q192" s="32"/>
      <c r="R192" s="32"/>
      <c r="S192" s="32"/>
      <c r="T192" s="6"/>
    </row>
    <row r="193" spans="1:20" ht="15" customHeight="1" x14ac:dyDescent="0.2">
      <c r="A193" s="16" t="s">
        <v>32</v>
      </c>
      <c r="B193" s="22">
        <v>319938</v>
      </c>
      <c r="C193" s="22">
        <v>664269</v>
      </c>
      <c r="D193" s="22">
        <v>110761234</v>
      </c>
      <c r="E193" s="22">
        <v>53073059</v>
      </c>
      <c r="F193" s="22">
        <v>22077262</v>
      </c>
      <c r="G193" s="22">
        <v>15323364</v>
      </c>
      <c r="H193" s="22">
        <v>405163</v>
      </c>
      <c r="I193" s="22">
        <v>128029</v>
      </c>
      <c r="J193" s="26">
        <v>2205249</v>
      </c>
      <c r="L193" s="32"/>
      <c r="M193" s="32"/>
      <c r="N193" s="32"/>
      <c r="O193" s="32"/>
      <c r="P193" s="32"/>
      <c r="Q193" s="32"/>
      <c r="R193" s="32"/>
      <c r="S193" s="32"/>
      <c r="T193" s="6"/>
    </row>
    <row r="194" spans="1:20" ht="15" customHeight="1" x14ac:dyDescent="0.2">
      <c r="A194" s="15" t="s">
        <v>6</v>
      </c>
      <c r="B194" s="22">
        <v>278890</v>
      </c>
      <c r="C194" s="22">
        <v>23559</v>
      </c>
      <c r="D194" s="22">
        <v>878558</v>
      </c>
      <c r="E194" s="22">
        <v>35044</v>
      </c>
      <c r="F194" s="22">
        <v>99324</v>
      </c>
      <c r="G194" s="22">
        <v>164766</v>
      </c>
      <c r="H194" s="22">
        <v>405163</v>
      </c>
      <c r="I194" s="22">
        <v>34528</v>
      </c>
      <c r="J194" s="26">
        <v>0</v>
      </c>
      <c r="L194" s="32"/>
      <c r="M194" s="32"/>
      <c r="N194" s="32"/>
      <c r="O194" s="32"/>
      <c r="P194" s="32"/>
      <c r="Q194" s="32"/>
      <c r="R194" s="32"/>
      <c r="S194" s="32"/>
      <c r="T194" s="6"/>
    </row>
    <row r="195" spans="1:20" ht="15" customHeight="1" x14ac:dyDescent="0.2">
      <c r="A195" s="15" t="s">
        <v>7</v>
      </c>
      <c r="B195" s="22">
        <v>16587</v>
      </c>
      <c r="C195" s="22">
        <v>292641</v>
      </c>
      <c r="D195" s="22">
        <v>64192361</v>
      </c>
      <c r="E195" s="22">
        <v>25658303</v>
      </c>
      <c r="F195" s="22">
        <v>11443296</v>
      </c>
      <c r="G195" s="22">
        <v>14495457</v>
      </c>
      <c r="H195" s="22">
        <v>0</v>
      </c>
      <c r="I195" s="22">
        <v>84878</v>
      </c>
      <c r="J195" s="26">
        <v>1277111</v>
      </c>
      <c r="L195" s="32"/>
      <c r="M195" s="32"/>
      <c r="N195" s="32"/>
      <c r="O195" s="32"/>
      <c r="P195" s="32"/>
      <c r="Q195" s="32"/>
      <c r="R195" s="32"/>
      <c r="S195" s="32"/>
      <c r="T195" s="6"/>
    </row>
    <row r="196" spans="1:20" ht="15" customHeight="1" x14ac:dyDescent="0.2">
      <c r="A196" s="15" t="s">
        <v>88</v>
      </c>
      <c r="B196" s="22">
        <v>1074</v>
      </c>
      <c r="C196" s="22">
        <v>337143</v>
      </c>
      <c r="D196" s="22">
        <v>18801935</v>
      </c>
      <c r="E196" s="22">
        <v>8144745</v>
      </c>
      <c r="F196" s="22">
        <v>8930962</v>
      </c>
      <c r="G196" s="22">
        <v>59261</v>
      </c>
      <c r="H196" s="22">
        <v>0</v>
      </c>
      <c r="I196" s="22">
        <v>0</v>
      </c>
      <c r="J196" s="26">
        <v>0</v>
      </c>
      <c r="L196" s="32"/>
      <c r="M196" s="32"/>
      <c r="N196" s="32"/>
      <c r="O196" s="32"/>
      <c r="P196" s="32"/>
      <c r="Q196" s="32"/>
      <c r="R196" s="32"/>
      <c r="S196" s="32"/>
      <c r="T196" s="6"/>
    </row>
    <row r="197" spans="1:20" ht="15" customHeight="1" x14ac:dyDescent="0.2">
      <c r="A197" s="16" t="s">
        <v>33</v>
      </c>
      <c r="B197" s="22">
        <v>8160</v>
      </c>
      <c r="C197" s="22">
        <v>86778</v>
      </c>
      <c r="D197" s="22">
        <v>1148538</v>
      </c>
      <c r="E197" s="22">
        <v>742451</v>
      </c>
      <c r="F197" s="22">
        <v>255742</v>
      </c>
      <c r="G197" s="22">
        <v>1368</v>
      </c>
      <c r="H197" s="22">
        <v>206</v>
      </c>
      <c r="I197" s="22">
        <v>616</v>
      </c>
      <c r="J197" s="26">
        <v>0</v>
      </c>
      <c r="L197" s="32"/>
      <c r="M197" s="32"/>
      <c r="N197" s="32"/>
      <c r="O197" s="32"/>
      <c r="P197" s="32"/>
      <c r="Q197" s="32"/>
      <c r="R197" s="32"/>
      <c r="S197" s="32"/>
      <c r="T197" s="6"/>
    </row>
    <row r="198" spans="1:20" ht="15" customHeight="1" x14ac:dyDescent="0.2">
      <c r="A198" s="15" t="s">
        <v>6</v>
      </c>
      <c r="B198" s="22">
        <v>543</v>
      </c>
      <c r="C198" s="22">
        <v>817</v>
      </c>
      <c r="D198" s="22">
        <v>163032</v>
      </c>
      <c r="E198" s="22">
        <v>160083</v>
      </c>
      <c r="F198" s="22">
        <v>2051</v>
      </c>
      <c r="G198" s="22">
        <v>144</v>
      </c>
      <c r="H198" s="22">
        <v>206</v>
      </c>
      <c r="I198" s="22">
        <v>482</v>
      </c>
      <c r="J198" s="26">
        <v>0</v>
      </c>
      <c r="L198" s="32"/>
      <c r="M198" s="32"/>
      <c r="N198" s="32"/>
      <c r="O198" s="32"/>
      <c r="P198" s="32"/>
      <c r="Q198" s="32"/>
      <c r="R198" s="32"/>
      <c r="S198" s="32"/>
      <c r="T198" s="6"/>
    </row>
    <row r="199" spans="1:20" ht="15" customHeight="1" x14ac:dyDescent="0.2">
      <c r="A199" s="15" t="s">
        <v>7</v>
      </c>
      <c r="B199" s="22">
        <v>5073</v>
      </c>
      <c r="C199" s="22">
        <v>63426</v>
      </c>
      <c r="D199" s="22">
        <v>801983</v>
      </c>
      <c r="E199" s="22">
        <v>506424</v>
      </c>
      <c r="F199" s="22">
        <v>150958</v>
      </c>
      <c r="G199" s="22">
        <v>1130</v>
      </c>
      <c r="H199" s="22">
        <v>0</v>
      </c>
      <c r="I199" s="22">
        <v>130</v>
      </c>
      <c r="J199" s="26">
        <v>0</v>
      </c>
      <c r="L199" s="32"/>
      <c r="M199" s="32"/>
      <c r="N199" s="32"/>
      <c r="O199" s="32"/>
      <c r="P199" s="32"/>
      <c r="Q199" s="32"/>
      <c r="R199" s="32"/>
      <c r="S199" s="32"/>
      <c r="T199" s="6"/>
    </row>
    <row r="200" spans="1:20" ht="15" customHeight="1" x14ac:dyDescent="0.2">
      <c r="A200" s="15" t="s">
        <v>88</v>
      </c>
      <c r="B200" s="22">
        <v>555</v>
      </c>
      <c r="C200" s="22">
        <v>14553</v>
      </c>
      <c r="D200" s="22">
        <v>107747</v>
      </c>
      <c r="E200" s="22">
        <v>49980</v>
      </c>
      <c r="F200" s="22">
        <v>56529</v>
      </c>
      <c r="G200" s="22">
        <v>15</v>
      </c>
      <c r="H200" s="22">
        <v>0</v>
      </c>
      <c r="I200" s="22">
        <v>0</v>
      </c>
      <c r="J200" s="26">
        <v>0</v>
      </c>
      <c r="L200" s="32"/>
      <c r="M200" s="32"/>
      <c r="N200" s="32"/>
      <c r="O200" s="32"/>
      <c r="P200" s="32"/>
      <c r="Q200" s="32"/>
      <c r="R200" s="32"/>
      <c r="S200" s="32"/>
      <c r="T200" s="6"/>
    </row>
    <row r="201" spans="1:20" ht="15" customHeight="1" x14ac:dyDescent="0.2">
      <c r="A201" s="16" t="s">
        <v>34</v>
      </c>
      <c r="B201" s="22">
        <v>71314</v>
      </c>
      <c r="C201" s="22">
        <v>409752</v>
      </c>
      <c r="D201" s="22">
        <v>14930123</v>
      </c>
      <c r="E201" s="22">
        <v>6672826</v>
      </c>
      <c r="F201" s="22">
        <v>3443451</v>
      </c>
      <c r="G201" s="22">
        <v>1398197</v>
      </c>
      <c r="H201" s="22">
        <v>20966</v>
      </c>
      <c r="I201" s="22">
        <v>59765</v>
      </c>
      <c r="J201" s="26">
        <v>0</v>
      </c>
      <c r="L201" s="32"/>
      <c r="M201" s="32"/>
      <c r="N201" s="32"/>
      <c r="O201" s="32"/>
      <c r="P201" s="32"/>
      <c r="Q201" s="32"/>
      <c r="R201" s="32"/>
      <c r="S201" s="32"/>
      <c r="T201" s="6"/>
    </row>
    <row r="202" spans="1:20" ht="15" customHeight="1" x14ac:dyDescent="0.2">
      <c r="A202" s="15" t="s">
        <v>6</v>
      </c>
      <c r="B202" s="22">
        <v>57479</v>
      </c>
      <c r="C202" s="22">
        <v>19250</v>
      </c>
      <c r="D202" s="22">
        <v>168822</v>
      </c>
      <c r="E202" s="22">
        <v>16663</v>
      </c>
      <c r="F202" s="22">
        <v>24000</v>
      </c>
      <c r="G202" s="22">
        <v>15653</v>
      </c>
      <c r="H202" s="22">
        <v>20966</v>
      </c>
      <c r="I202" s="22">
        <v>36715</v>
      </c>
      <c r="J202" s="26">
        <v>0</v>
      </c>
      <c r="L202" s="32"/>
      <c r="M202" s="32"/>
      <c r="N202" s="32"/>
      <c r="O202" s="32"/>
      <c r="P202" s="32"/>
      <c r="Q202" s="32"/>
      <c r="R202" s="32"/>
      <c r="S202" s="32"/>
      <c r="T202" s="6"/>
    </row>
    <row r="203" spans="1:20" ht="15" customHeight="1" x14ac:dyDescent="0.2">
      <c r="A203" s="15" t="s">
        <v>7</v>
      </c>
      <c r="B203" s="22">
        <v>4141</v>
      </c>
      <c r="C203" s="22">
        <v>332644</v>
      </c>
      <c r="D203" s="22">
        <v>5529454</v>
      </c>
      <c r="E203" s="22">
        <v>1907941</v>
      </c>
      <c r="F203" s="22">
        <v>723204</v>
      </c>
      <c r="G203" s="22">
        <v>1280618</v>
      </c>
      <c r="H203" s="22">
        <v>0</v>
      </c>
      <c r="I203" s="22">
        <v>21765</v>
      </c>
      <c r="J203" s="26">
        <v>0</v>
      </c>
      <c r="L203" s="32"/>
      <c r="M203" s="32"/>
      <c r="N203" s="32"/>
      <c r="O203" s="32"/>
      <c r="P203" s="32"/>
      <c r="Q203" s="32"/>
      <c r="R203" s="32"/>
      <c r="S203" s="32"/>
      <c r="T203" s="6"/>
    </row>
    <row r="204" spans="1:20" ht="15" customHeight="1" x14ac:dyDescent="0.2">
      <c r="A204" s="15" t="s">
        <v>88</v>
      </c>
      <c r="B204" s="22">
        <v>252</v>
      </c>
      <c r="C204" s="22">
        <v>23414</v>
      </c>
      <c r="D204" s="22">
        <v>793895</v>
      </c>
      <c r="E204" s="22">
        <v>592793</v>
      </c>
      <c r="F204" s="22">
        <v>188803</v>
      </c>
      <c r="G204" s="22">
        <v>28</v>
      </c>
      <c r="H204" s="22">
        <v>0</v>
      </c>
      <c r="I204" s="22">
        <v>0</v>
      </c>
      <c r="J204" s="26">
        <v>0</v>
      </c>
      <c r="L204" s="32"/>
      <c r="M204" s="32"/>
      <c r="N204" s="32"/>
      <c r="O204" s="32"/>
      <c r="P204" s="32"/>
      <c r="Q204" s="32"/>
      <c r="R204" s="32"/>
      <c r="S204" s="32"/>
      <c r="T204" s="6"/>
    </row>
    <row r="205" spans="1:20" ht="15" customHeight="1" x14ac:dyDescent="0.2">
      <c r="A205" s="16" t="s">
        <v>35</v>
      </c>
      <c r="B205" s="22">
        <v>6582</v>
      </c>
      <c r="C205" s="22">
        <v>4940</v>
      </c>
      <c r="D205" s="22">
        <v>6657843</v>
      </c>
      <c r="E205" s="22">
        <v>1725550</v>
      </c>
      <c r="F205" s="22">
        <v>3471827</v>
      </c>
      <c r="G205" s="22">
        <v>1071</v>
      </c>
      <c r="H205" s="22">
        <v>0</v>
      </c>
      <c r="I205" s="22">
        <v>477</v>
      </c>
      <c r="J205" s="26">
        <v>0</v>
      </c>
      <c r="L205" s="32"/>
      <c r="M205" s="32"/>
      <c r="N205" s="32"/>
      <c r="O205" s="32"/>
      <c r="P205" s="32"/>
      <c r="Q205" s="32"/>
      <c r="R205" s="32"/>
      <c r="S205" s="32"/>
      <c r="T205" s="6"/>
    </row>
    <row r="206" spans="1:20" ht="15" customHeight="1" x14ac:dyDescent="0.2">
      <c r="A206" s="15" t="s">
        <v>6</v>
      </c>
      <c r="B206" s="22">
        <v>3820</v>
      </c>
      <c r="C206" s="22">
        <v>1891</v>
      </c>
      <c r="D206" s="22">
        <v>11386</v>
      </c>
      <c r="E206" s="22">
        <v>4163</v>
      </c>
      <c r="F206" s="22">
        <v>3836</v>
      </c>
      <c r="G206" s="22">
        <v>841</v>
      </c>
      <c r="H206" s="22">
        <v>0</v>
      </c>
      <c r="I206" s="22">
        <v>477</v>
      </c>
      <c r="J206" s="26">
        <v>0</v>
      </c>
      <c r="L206" s="32"/>
      <c r="M206" s="32"/>
      <c r="N206" s="32"/>
      <c r="O206" s="32"/>
      <c r="P206" s="32"/>
      <c r="Q206" s="32"/>
      <c r="R206" s="32"/>
      <c r="S206" s="32"/>
      <c r="T206" s="6"/>
    </row>
    <row r="207" spans="1:20" ht="15" customHeight="1" x14ac:dyDescent="0.2">
      <c r="A207" s="15" t="s">
        <v>7</v>
      </c>
      <c r="B207" s="22">
        <v>621</v>
      </c>
      <c r="C207" s="22">
        <v>2348</v>
      </c>
      <c r="D207" s="22">
        <v>95360</v>
      </c>
      <c r="E207" s="22">
        <v>81881</v>
      </c>
      <c r="F207" s="22">
        <v>8519</v>
      </c>
      <c r="G207" s="22">
        <v>17</v>
      </c>
      <c r="H207" s="22">
        <v>0</v>
      </c>
      <c r="I207" s="22">
        <v>0</v>
      </c>
      <c r="J207" s="26">
        <v>0</v>
      </c>
      <c r="L207" s="32"/>
      <c r="M207" s="32"/>
      <c r="N207" s="32"/>
      <c r="O207" s="32"/>
      <c r="P207" s="32"/>
      <c r="Q207" s="32"/>
      <c r="R207" s="32"/>
      <c r="S207" s="32"/>
      <c r="T207" s="6"/>
    </row>
    <row r="208" spans="1:20" ht="15" customHeight="1" x14ac:dyDescent="0.2">
      <c r="A208" s="15" t="s">
        <v>88</v>
      </c>
      <c r="B208" s="22" t="s">
        <v>101</v>
      </c>
      <c r="C208" s="22">
        <v>0</v>
      </c>
      <c r="D208" s="22" t="s">
        <v>101</v>
      </c>
      <c r="E208" s="22" t="s">
        <v>101</v>
      </c>
      <c r="F208" s="22">
        <v>0</v>
      </c>
      <c r="G208" s="22">
        <v>0</v>
      </c>
      <c r="H208" s="22">
        <v>0</v>
      </c>
      <c r="I208" s="22">
        <v>0</v>
      </c>
      <c r="J208" s="26">
        <v>0</v>
      </c>
      <c r="L208" s="32"/>
      <c r="M208" s="32"/>
      <c r="N208" s="32"/>
      <c r="O208" s="32"/>
      <c r="P208" s="32"/>
      <c r="Q208" s="32"/>
      <c r="R208" s="32"/>
      <c r="S208" s="32"/>
      <c r="T208" s="6"/>
    </row>
    <row r="209" spans="1:20" ht="15" customHeight="1" x14ac:dyDescent="0.2">
      <c r="A209" s="15" t="s">
        <v>115</v>
      </c>
      <c r="B209" s="22">
        <v>4054</v>
      </c>
      <c r="C209" s="22">
        <v>3154</v>
      </c>
      <c r="D209" s="22">
        <v>100830</v>
      </c>
      <c r="E209" s="22">
        <v>74354</v>
      </c>
      <c r="F209" s="22">
        <v>7052</v>
      </c>
      <c r="G209" s="22">
        <v>7887</v>
      </c>
      <c r="H209" s="22">
        <v>154</v>
      </c>
      <c r="I209" s="22">
        <v>3568</v>
      </c>
      <c r="J209" s="26">
        <v>0</v>
      </c>
      <c r="L209" s="32"/>
      <c r="M209" s="32"/>
      <c r="N209" s="32"/>
      <c r="O209" s="32"/>
      <c r="P209" s="32"/>
      <c r="Q209" s="32"/>
      <c r="R209" s="32"/>
      <c r="S209" s="32"/>
      <c r="T209" s="6"/>
    </row>
    <row r="210" spans="1:20" ht="15" customHeight="1" x14ac:dyDescent="0.2">
      <c r="A210" s="15" t="s">
        <v>6</v>
      </c>
      <c r="B210" s="22">
        <v>3563</v>
      </c>
      <c r="C210" s="22">
        <v>1322</v>
      </c>
      <c r="D210" s="22">
        <v>10268</v>
      </c>
      <c r="E210" s="22">
        <v>908</v>
      </c>
      <c r="F210" s="22">
        <v>3182</v>
      </c>
      <c r="G210" s="22">
        <v>1015</v>
      </c>
      <c r="H210" s="22">
        <v>154</v>
      </c>
      <c r="I210" s="22">
        <v>893</v>
      </c>
      <c r="J210" s="26">
        <v>0</v>
      </c>
      <c r="L210" s="32"/>
      <c r="M210" s="32"/>
      <c r="N210" s="32"/>
      <c r="O210" s="32"/>
      <c r="P210" s="32"/>
      <c r="Q210" s="32"/>
      <c r="R210" s="32"/>
      <c r="S210" s="32"/>
      <c r="T210" s="6"/>
    </row>
    <row r="211" spans="1:20" ht="15" customHeight="1" x14ac:dyDescent="0.2">
      <c r="A211" s="15" t="s">
        <v>7</v>
      </c>
      <c r="B211" s="22">
        <v>274</v>
      </c>
      <c r="C211" s="22">
        <v>946</v>
      </c>
      <c r="D211" s="22">
        <v>15359</v>
      </c>
      <c r="E211" s="22">
        <v>4755</v>
      </c>
      <c r="F211" s="22">
        <v>822</v>
      </c>
      <c r="G211" s="22">
        <v>6777</v>
      </c>
      <c r="H211" s="22">
        <v>0</v>
      </c>
      <c r="I211" s="22">
        <v>2598</v>
      </c>
      <c r="J211" s="26">
        <v>0</v>
      </c>
      <c r="L211" s="32"/>
      <c r="M211" s="32"/>
      <c r="N211" s="32"/>
      <c r="O211" s="32"/>
      <c r="P211" s="32"/>
      <c r="Q211" s="32"/>
      <c r="R211" s="32"/>
      <c r="S211" s="32"/>
      <c r="T211" s="6"/>
    </row>
    <row r="212" spans="1:20" ht="15" customHeight="1" x14ac:dyDescent="0.2">
      <c r="A212" s="15" t="s">
        <v>88</v>
      </c>
      <c r="B212" s="22">
        <v>7</v>
      </c>
      <c r="C212" s="22">
        <v>91</v>
      </c>
      <c r="D212" s="22">
        <v>764</v>
      </c>
      <c r="E212" s="22">
        <v>440</v>
      </c>
      <c r="F212" s="22" t="s">
        <v>101</v>
      </c>
      <c r="G212" s="22">
        <v>0</v>
      </c>
      <c r="H212" s="22">
        <v>0</v>
      </c>
      <c r="I212" s="22">
        <v>0</v>
      </c>
      <c r="J212" s="26">
        <v>0</v>
      </c>
      <c r="L212" s="32"/>
      <c r="M212" s="32"/>
      <c r="N212" s="32"/>
      <c r="O212" s="32"/>
      <c r="P212" s="32"/>
      <c r="Q212" s="32"/>
      <c r="R212" s="32"/>
      <c r="S212" s="32"/>
      <c r="T212" s="6"/>
    </row>
    <row r="213" spans="1:20" ht="15" customHeight="1" x14ac:dyDescent="0.2">
      <c r="A213" s="20" t="s">
        <v>103</v>
      </c>
      <c r="B213" s="22">
        <v>1034</v>
      </c>
      <c r="C213" s="22">
        <v>4214</v>
      </c>
      <c r="D213" s="22">
        <v>185167</v>
      </c>
      <c r="E213" s="22">
        <v>96602</v>
      </c>
      <c r="F213" s="22">
        <v>11554</v>
      </c>
      <c r="G213" s="22">
        <v>34992</v>
      </c>
      <c r="H213" s="22">
        <v>172</v>
      </c>
      <c r="I213" s="22">
        <v>11</v>
      </c>
      <c r="J213" s="26">
        <v>0</v>
      </c>
      <c r="L213" s="32"/>
      <c r="M213" s="32"/>
      <c r="N213" s="32"/>
      <c r="O213" s="32"/>
      <c r="P213" s="32"/>
      <c r="Q213" s="32"/>
      <c r="R213" s="32"/>
      <c r="S213" s="32"/>
      <c r="T213" s="6"/>
    </row>
    <row r="214" spans="1:20" ht="15" customHeight="1" x14ac:dyDescent="0.2">
      <c r="A214" s="15" t="s">
        <v>6</v>
      </c>
      <c r="B214" s="22">
        <v>403</v>
      </c>
      <c r="C214" s="22">
        <v>170</v>
      </c>
      <c r="D214" s="22">
        <v>1275</v>
      </c>
      <c r="E214" s="22">
        <v>310</v>
      </c>
      <c r="F214" s="22">
        <v>5</v>
      </c>
      <c r="G214" s="22">
        <v>12</v>
      </c>
      <c r="H214" s="22">
        <v>172</v>
      </c>
      <c r="I214" s="22">
        <v>6</v>
      </c>
      <c r="J214" s="26">
        <v>0</v>
      </c>
      <c r="L214" s="32"/>
      <c r="M214" s="32"/>
      <c r="N214" s="32"/>
      <c r="O214" s="32"/>
      <c r="P214" s="32"/>
      <c r="Q214" s="32"/>
      <c r="R214" s="32"/>
      <c r="S214" s="32"/>
      <c r="T214" s="6"/>
    </row>
    <row r="215" spans="1:20" ht="15" customHeight="1" x14ac:dyDescent="0.2">
      <c r="A215" s="15" t="s">
        <v>7</v>
      </c>
      <c r="B215" s="22">
        <v>612</v>
      </c>
      <c r="C215" s="22">
        <v>2803</v>
      </c>
      <c r="D215" s="22">
        <v>177955</v>
      </c>
      <c r="E215" s="22">
        <v>95650</v>
      </c>
      <c r="F215" s="22">
        <v>7539</v>
      </c>
      <c r="G215" s="22">
        <v>34919</v>
      </c>
      <c r="H215" s="22">
        <v>0</v>
      </c>
      <c r="I215" s="22">
        <v>5</v>
      </c>
      <c r="J215" s="26">
        <v>0</v>
      </c>
      <c r="L215" s="32"/>
      <c r="M215" s="32"/>
      <c r="N215" s="32"/>
      <c r="O215" s="32"/>
      <c r="P215" s="32"/>
      <c r="Q215" s="32"/>
      <c r="R215" s="32"/>
      <c r="S215" s="32"/>
      <c r="T215" s="6"/>
    </row>
    <row r="216" spans="1:20" ht="15" customHeight="1" x14ac:dyDescent="0.2">
      <c r="A216" s="15" t="s">
        <v>88</v>
      </c>
      <c r="B216" s="22">
        <v>0</v>
      </c>
      <c r="C216" s="22">
        <v>0</v>
      </c>
      <c r="D216" s="22">
        <v>0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6">
        <v>0</v>
      </c>
      <c r="L216" s="32"/>
      <c r="M216" s="32"/>
      <c r="N216" s="32"/>
      <c r="O216" s="32"/>
      <c r="P216" s="32"/>
      <c r="Q216" s="32"/>
      <c r="R216" s="32"/>
      <c r="S216" s="32"/>
      <c r="T216" s="6"/>
    </row>
    <row r="217" spans="1:20" ht="15" customHeight="1" x14ac:dyDescent="0.2">
      <c r="A217" s="16" t="s">
        <v>60</v>
      </c>
      <c r="B217" s="22">
        <v>1709</v>
      </c>
      <c r="C217" s="22">
        <v>57662</v>
      </c>
      <c r="D217" s="22">
        <v>433585</v>
      </c>
      <c r="E217" s="22">
        <v>234740</v>
      </c>
      <c r="F217" s="22">
        <v>164529</v>
      </c>
      <c r="G217" s="22">
        <v>15042</v>
      </c>
      <c r="H217" s="22">
        <v>48</v>
      </c>
      <c r="I217" s="22">
        <v>3556</v>
      </c>
      <c r="J217" s="26">
        <v>0</v>
      </c>
      <c r="L217" s="32"/>
      <c r="M217" s="32"/>
      <c r="N217" s="32"/>
      <c r="O217" s="32"/>
      <c r="P217" s="32"/>
      <c r="Q217" s="32"/>
      <c r="R217" s="32"/>
      <c r="S217" s="32"/>
      <c r="T217" s="6"/>
    </row>
    <row r="218" spans="1:20" ht="15" customHeight="1" x14ac:dyDescent="0.2">
      <c r="A218" s="15" t="s">
        <v>6</v>
      </c>
      <c r="B218" s="22">
        <v>280</v>
      </c>
      <c r="C218" s="22">
        <v>140</v>
      </c>
      <c r="D218" s="22">
        <v>1252</v>
      </c>
      <c r="E218" s="22">
        <v>456</v>
      </c>
      <c r="F218" s="22">
        <v>525</v>
      </c>
      <c r="G218" s="22">
        <v>2</v>
      </c>
      <c r="H218" s="22">
        <v>48</v>
      </c>
      <c r="I218" s="22">
        <v>23</v>
      </c>
      <c r="J218" s="26">
        <v>0</v>
      </c>
      <c r="L218" s="32"/>
      <c r="M218" s="32"/>
      <c r="N218" s="32"/>
      <c r="O218" s="32"/>
      <c r="P218" s="32"/>
      <c r="Q218" s="32"/>
      <c r="R218" s="32"/>
      <c r="S218" s="32"/>
      <c r="T218" s="6"/>
    </row>
    <row r="219" spans="1:20" ht="15" customHeight="1" x14ac:dyDescent="0.2">
      <c r="A219" s="15" t="s">
        <v>7</v>
      </c>
      <c r="B219" s="22">
        <v>613</v>
      </c>
      <c r="C219" s="22">
        <v>8299</v>
      </c>
      <c r="D219" s="22">
        <v>49410</v>
      </c>
      <c r="E219" s="22">
        <v>16787</v>
      </c>
      <c r="F219" s="22">
        <v>14819</v>
      </c>
      <c r="G219" s="22">
        <v>12871</v>
      </c>
      <c r="H219" s="22">
        <v>0</v>
      </c>
      <c r="I219" s="22">
        <v>3533</v>
      </c>
      <c r="J219" s="26">
        <v>0</v>
      </c>
      <c r="L219" s="32"/>
      <c r="M219" s="32"/>
      <c r="N219" s="32"/>
      <c r="O219" s="32"/>
      <c r="P219" s="32"/>
      <c r="Q219" s="32"/>
      <c r="R219" s="32"/>
      <c r="S219" s="32"/>
      <c r="T219" s="6"/>
    </row>
    <row r="220" spans="1:20" ht="15" customHeight="1" x14ac:dyDescent="0.2">
      <c r="A220" s="15" t="s">
        <v>88</v>
      </c>
      <c r="B220" s="22">
        <v>166</v>
      </c>
      <c r="C220" s="22">
        <v>22201</v>
      </c>
      <c r="D220" s="22">
        <v>213702</v>
      </c>
      <c r="E220" s="22">
        <v>133203</v>
      </c>
      <c r="F220" s="22">
        <v>77197</v>
      </c>
      <c r="G220" s="22">
        <v>30</v>
      </c>
      <c r="H220" s="22">
        <v>0</v>
      </c>
      <c r="I220" s="22">
        <v>0</v>
      </c>
      <c r="J220" s="26">
        <v>0</v>
      </c>
      <c r="L220" s="32"/>
      <c r="M220" s="32"/>
      <c r="N220" s="32"/>
      <c r="O220" s="32"/>
      <c r="P220" s="32"/>
      <c r="Q220" s="32"/>
      <c r="R220" s="32"/>
      <c r="S220" s="32"/>
      <c r="T220" s="6"/>
    </row>
    <row r="221" spans="1:20" ht="15" customHeight="1" x14ac:dyDescent="0.2">
      <c r="A221" s="16" t="s">
        <v>36</v>
      </c>
      <c r="B221" s="22">
        <v>34042</v>
      </c>
      <c r="C221" s="22">
        <v>2300811</v>
      </c>
      <c r="D221" s="22">
        <v>52971462</v>
      </c>
      <c r="E221" s="22">
        <v>35312052</v>
      </c>
      <c r="F221" s="22">
        <v>11452451</v>
      </c>
      <c r="G221" s="22">
        <v>811190</v>
      </c>
      <c r="H221" s="22">
        <v>767</v>
      </c>
      <c r="I221" s="22">
        <v>21269</v>
      </c>
      <c r="J221" s="26">
        <v>76</v>
      </c>
      <c r="L221" s="32"/>
      <c r="M221" s="32"/>
      <c r="N221" s="32"/>
      <c r="O221" s="32"/>
      <c r="P221" s="32"/>
      <c r="Q221" s="32"/>
      <c r="R221" s="32"/>
      <c r="S221" s="32"/>
      <c r="T221" s="6"/>
    </row>
    <row r="222" spans="1:20" ht="15" customHeight="1" x14ac:dyDescent="0.2">
      <c r="A222" s="15" t="s">
        <v>6</v>
      </c>
      <c r="B222" s="22">
        <v>3074</v>
      </c>
      <c r="C222" s="22">
        <v>805</v>
      </c>
      <c r="D222" s="22">
        <v>13959</v>
      </c>
      <c r="E222" s="22">
        <v>3926</v>
      </c>
      <c r="F222" s="22">
        <v>2765</v>
      </c>
      <c r="G222" s="22">
        <v>952</v>
      </c>
      <c r="H222" s="22">
        <v>767</v>
      </c>
      <c r="I222" s="22">
        <v>139</v>
      </c>
      <c r="J222" s="26">
        <v>0</v>
      </c>
      <c r="L222" s="32"/>
      <c r="M222" s="32"/>
      <c r="N222" s="32"/>
      <c r="O222" s="32"/>
      <c r="P222" s="32"/>
      <c r="Q222" s="32"/>
      <c r="R222" s="32"/>
      <c r="S222" s="32"/>
      <c r="T222" s="6"/>
    </row>
    <row r="223" spans="1:20" ht="15" customHeight="1" x14ac:dyDescent="0.2">
      <c r="A223" s="15" t="s">
        <v>7</v>
      </c>
      <c r="B223" s="22">
        <v>28199</v>
      </c>
      <c r="C223" s="22">
        <v>1568582</v>
      </c>
      <c r="D223" s="22">
        <v>37831385</v>
      </c>
      <c r="E223" s="22">
        <v>25535286</v>
      </c>
      <c r="F223" s="22">
        <v>6766223</v>
      </c>
      <c r="G223" s="22">
        <v>696734</v>
      </c>
      <c r="H223" s="22">
        <v>0</v>
      </c>
      <c r="I223" s="22">
        <v>20994</v>
      </c>
      <c r="J223" s="26">
        <v>0</v>
      </c>
      <c r="L223" s="32"/>
      <c r="M223" s="32"/>
      <c r="N223" s="32"/>
      <c r="O223" s="32"/>
      <c r="P223" s="32"/>
      <c r="Q223" s="32"/>
      <c r="R223" s="32"/>
      <c r="S223" s="32"/>
      <c r="T223" s="6"/>
    </row>
    <row r="224" spans="1:20" ht="15" customHeight="1" x14ac:dyDescent="0.2">
      <c r="A224" s="15" t="s">
        <v>88</v>
      </c>
      <c r="B224" s="22">
        <v>1102</v>
      </c>
      <c r="C224" s="22">
        <v>719046</v>
      </c>
      <c r="D224" s="22">
        <v>9634000</v>
      </c>
      <c r="E224" s="22">
        <v>6734595</v>
      </c>
      <c r="F224" s="22">
        <v>2533380</v>
      </c>
      <c r="G224" s="22">
        <v>157</v>
      </c>
      <c r="H224" s="22">
        <v>0</v>
      </c>
      <c r="I224" s="22">
        <v>0</v>
      </c>
      <c r="J224" s="26">
        <v>0</v>
      </c>
      <c r="L224" s="32"/>
      <c r="M224" s="32"/>
      <c r="N224" s="32"/>
      <c r="O224" s="32"/>
      <c r="P224" s="32"/>
      <c r="Q224" s="32"/>
      <c r="R224" s="32"/>
      <c r="S224" s="32"/>
      <c r="T224" s="6"/>
    </row>
    <row r="225" spans="1:20" ht="15" customHeight="1" x14ac:dyDescent="0.2">
      <c r="A225" s="16" t="s">
        <v>99</v>
      </c>
      <c r="B225" s="22">
        <v>1705</v>
      </c>
      <c r="C225" s="22">
        <v>1555</v>
      </c>
      <c r="D225" s="22">
        <v>350285</v>
      </c>
      <c r="E225" s="22">
        <v>73123</v>
      </c>
      <c r="F225" s="22">
        <v>66827</v>
      </c>
      <c r="G225" s="22">
        <v>178826</v>
      </c>
      <c r="H225" s="22">
        <v>11</v>
      </c>
      <c r="I225" s="22">
        <v>646</v>
      </c>
      <c r="J225" s="26">
        <v>0</v>
      </c>
      <c r="L225" s="32"/>
      <c r="M225" s="32"/>
      <c r="N225" s="32"/>
      <c r="O225" s="32"/>
      <c r="P225" s="32"/>
      <c r="Q225" s="32"/>
      <c r="R225" s="32"/>
      <c r="S225" s="32"/>
      <c r="T225" s="6"/>
    </row>
    <row r="226" spans="1:20" ht="15" customHeight="1" x14ac:dyDescent="0.2">
      <c r="A226" s="15" t="s">
        <v>6</v>
      </c>
      <c r="B226" s="22">
        <v>1503</v>
      </c>
      <c r="C226" s="22">
        <v>941</v>
      </c>
      <c r="D226" s="22">
        <v>4957</v>
      </c>
      <c r="E226" s="22">
        <v>1667</v>
      </c>
      <c r="F226" s="22">
        <v>732</v>
      </c>
      <c r="G226" s="22">
        <v>16</v>
      </c>
      <c r="H226" s="22">
        <v>11</v>
      </c>
      <c r="I226" s="22">
        <v>83</v>
      </c>
      <c r="J226" s="26">
        <v>0</v>
      </c>
      <c r="L226" s="32"/>
      <c r="M226" s="32"/>
      <c r="N226" s="32"/>
      <c r="O226" s="32"/>
      <c r="P226" s="32"/>
      <c r="Q226" s="32"/>
      <c r="R226" s="32"/>
      <c r="S226" s="32"/>
      <c r="T226" s="6"/>
    </row>
    <row r="227" spans="1:20" ht="15" customHeight="1" x14ac:dyDescent="0.2">
      <c r="A227" s="15" t="s">
        <v>7</v>
      </c>
      <c r="B227" s="22">
        <v>62</v>
      </c>
      <c r="C227" s="22">
        <v>202</v>
      </c>
      <c r="D227" s="22">
        <v>14773</v>
      </c>
      <c r="E227" s="22">
        <v>14134</v>
      </c>
      <c r="F227" s="22">
        <v>547</v>
      </c>
      <c r="G227" s="22">
        <v>8</v>
      </c>
      <c r="H227" s="22">
        <v>0</v>
      </c>
      <c r="I227" s="22">
        <v>3</v>
      </c>
      <c r="J227" s="26">
        <v>0</v>
      </c>
      <c r="L227" s="32"/>
      <c r="M227" s="32"/>
      <c r="N227" s="32"/>
      <c r="O227" s="32"/>
      <c r="P227" s="32"/>
      <c r="Q227" s="32"/>
      <c r="R227" s="32"/>
      <c r="S227" s="32"/>
      <c r="T227" s="6"/>
    </row>
    <row r="228" spans="1:20" ht="15" customHeight="1" x14ac:dyDescent="0.2">
      <c r="A228" s="15" t="s">
        <v>88</v>
      </c>
      <c r="B228" s="22" t="s">
        <v>101</v>
      </c>
      <c r="C228" s="22" t="s">
        <v>101</v>
      </c>
      <c r="D228" s="22" t="s">
        <v>101</v>
      </c>
      <c r="E228" s="22">
        <v>0</v>
      </c>
      <c r="F228" s="22">
        <v>0</v>
      </c>
      <c r="G228" s="22" t="s">
        <v>101</v>
      </c>
      <c r="H228" s="22">
        <v>0</v>
      </c>
      <c r="I228" s="22">
        <v>0</v>
      </c>
      <c r="J228" s="26">
        <v>0</v>
      </c>
      <c r="L228" s="32"/>
      <c r="M228" s="32"/>
      <c r="N228" s="32"/>
      <c r="O228" s="32"/>
      <c r="P228" s="32"/>
      <c r="Q228" s="32"/>
      <c r="R228" s="32"/>
      <c r="S228" s="32"/>
      <c r="T228" s="6"/>
    </row>
    <row r="229" spans="1:20" ht="15" customHeight="1" x14ac:dyDescent="0.2">
      <c r="A229" s="16" t="s">
        <v>61</v>
      </c>
      <c r="B229" s="22">
        <v>67450</v>
      </c>
      <c r="C229" s="22">
        <v>16599</v>
      </c>
      <c r="D229" s="22">
        <v>1039656</v>
      </c>
      <c r="E229" s="22">
        <v>813209</v>
      </c>
      <c r="F229" s="22">
        <v>137064</v>
      </c>
      <c r="G229" s="22">
        <v>6408</v>
      </c>
      <c r="H229" s="22">
        <v>907</v>
      </c>
      <c r="I229" s="22">
        <v>2261</v>
      </c>
      <c r="J229" s="26">
        <v>0</v>
      </c>
      <c r="L229" s="32"/>
      <c r="M229" s="32"/>
      <c r="N229" s="32"/>
      <c r="O229" s="32"/>
      <c r="P229" s="32"/>
      <c r="Q229" s="32"/>
      <c r="R229" s="32"/>
      <c r="S229" s="32"/>
      <c r="T229" s="6"/>
    </row>
    <row r="230" spans="1:20" ht="15" customHeight="1" x14ac:dyDescent="0.2">
      <c r="A230" s="15" t="s">
        <v>6</v>
      </c>
      <c r="B230" s="22">
        <v>62758</v>
      </c>
      <c r="C230" s="22">
        <v>9087</v>
      </c>
      <c r="D230" s="22">
        <v>44816</v>
      </c>
      <c r="E230" s="22">
        <v>8528</v>
      </c>
      <c r="F230" s="22">
        <v>24633</v>
      </c>
      <c r="G230" s="22">
        <v>1922</v>
      </c>
      <c r="H230" s="22">
        <v>907</v>
      </c>
      <c r="I230" s="22">
        <v>86</v>
      </c>
      <c r="J230" s="26">
        <v>0</v>
      </c>
      <c r="L230" s="32"/>
      <c r="M230" s="32"/>
      <c r="N230" s="32"/>
      <c r="O230" s="32"/>
      <c r="P230" s="32"/>
      <c r="Q230" s="32"/>
      <c r="R230" s="32"/>
      <c r="S230" s="32"/>
      <c r="T230" s="6"/>
    </row>
    <row r="231" spans="1:20" ht="15" customHeight="1" x14ac:dyDescent="0.2">
      <c r="A231" s="15" t="s">
        <v>7</v>
      </c>
      <c r="B231" s="22">
        <v>669</v>
      </c>
      <c r="C231" s="22">
        <v>2706</v>
      </c>
      <c r="D231" s="22">
        <v>62322</v>
      </c>
      <c r="E231" s="22">
        <v>36641</v>
      </c>
      <c r="F231" s="22">
        <v>5139</v>
      </c>
      <c r="G231" s="22">
        <v>2864</v>
      </c>
      <c r="H231" s="22">
        <v>0</v>
      </c>
      <c r="I231" s="22">
        <v>2056</v>
      </c>
      <c r="J231" s="26">
        <v>0</v>
      </c>
      <c r="L231" s="32"/>
      <c r="M231" s="32"/>
      <c r="N231" s="32"/>
      <c r="O231" s="32"/>
      <c r="P231" s="32"/>
      <c r="Q231" s="32"/>
      <c r="R231" s="32"/>
      <c r="S231" s="32"/>
      <c r="T231" s="6"/>
    </row>
    <row r="232" spans="1:20" ht="15" customHeight="1" x14ac:dyDescent="0.2">
      <c r="A232" s="15" t="s">
        <v>88</v>
      </c>
      <c r="B232" s="22">
        <v>3</v>
      </c>
      <c r="C232" s="22">
        <v>10</v>
      </c>
      <c r="D232" s="22">
        <v>35</v>
      </c>
      <c r="E232" s="22">
        <v>0</v>
      </c>
      <c r="F232" s="22">
        <v>35</v>
      </c>
      <c r="G232" s="22">
        <v>0</v>
      </c>
      <c r="H232" s="22">
        <v>0</v>
      </c>
      <c r="I232" s="22">
        <v>0</v>
      </c>
      <c r="J232" s="26">
        <v>0</v>
      </c>
      <c r="L232" s="32"/>
      <c r="M232" s="32"/>
      <c r="N232" s="32"/>
      <c r="O232" s="32"/>
      <c r="P232" s="32"/>
      <c r="Q232" s="32"/>
      <c r="R232" s="32"/>
      <c r="S232" s="32"/>
      <c r="T232" s="6"/>
    </row>
    <row r="233" spans="1:20" ht="15" customHeight="1" x14ac:dyDescent="0.2">
      <c r="A233" s="15" t="s">
        <v>85</v>
      </c>
      <c r="B233" s="22">
        <v>4628</v>
      </c>
      <c r="C233" s="22">
        <v>16198</v>
      </c>
      <c r="D233" s="22">
        <v>221684</v>
      </c>
      <c r="E233" s="22">
        <v>156706</v>
      </c>
      <c r="F233" s="22">
        <v>35620</v>
      </c>
      <c r="G233" s="22">
        <v>4763</v>
      </c>
      <c r="H233" s="22">
        <v>2576</v>
      </c>
      <c r="I233" s="22">
        <v>5705</v>
      </c>
      <c r="J233" s="26">
        <v>0</v>
      </c>
      <c r="L233" s="32"/>
      <c r="M233" s="32"/>
      <c r="N233" s="32"/>
      <c r="O233" s="32"/>
      <c r="P233" s="32"/>
      <c r="Q233" s="32"/>
      <c r="R233" s="32"/>
      <c r="S233" s="32"/>
      <c r="T233" s="6"/>
    </row>
    <row r="234" spans="1:20" ht="15" customHeight="1" x14ac:dyDescent="0.2">
      <c r="A234" s="15" t="s">
        <v>6</v>
      </c>
      <c r="B234" s="22">
        <v>2753</v>
      </c>
      <c r="C234" s="22">
        <v>1644</v>
      </c>
      <c r="D234" s="22">
        <v>17625</v>
      </c>
      <c r="E234" s="22">
        <v>4884</v>
      </c>
      <c r="F234" s="22">
        <v>3349</v>
      </c>
      <c r="G234" s="22">
        <v>276</v>
      </c>
      <c r="H234" s="22">
        <v>2576</v>
      </c>
      <c r="I234" s="22">
        <v>239</v>
      </c>
      <c r="J234" s="26">
        <v>0</v>
      </c>
      <c r="L234" s="32"/>
      <c r="M234" s="32"/>
      <c r="N234" s="32"/>
      <c r="O234" s="32"/>
      <c r="P234" s="32"/>
      <c r="Q234" s="32"/>
      <c r="R234" s="32"/>
      <c r="S234" s="32"/>
      <c r="T234" s="6"/>
    </row>
    <row r="235" spans="1:20" ht="15" customHeight="1" x14ac:dyDescent="0.2">
      <c r="A235" s="15" t="s">
        <v>7</v>
      </c>
      <c r="B235" s="22">
        <v>1619</v>
      </c>
      <c r="C235" s="22">
        <v>13062</v>
      </c>
      <c r="D235" s="22">
        <v>175569</v>
      </c>
      <c r="E235" s="22">
        <v>129244</v>
      </c>
      <c r="F235" s="22">
        <v>28373</v>
      </c>
      <c r="G235" s="22">
        <v>4455</v>
      </c>
      <c r="H235" s="22">
        <v>0</v>
      </c>
      <c r="I235" s="22">
        <v>5284</v>
      </c>
      <c r="J235" s="26">
        <v>0</v>
      </c>
      <c r="L235" s="32"/>
      <c r="M235" s="32"/>
      <c r="N235" s="32"/>
      <c r="O235" s="32"/>
      <c r="P235" s="32"/>
      <c r="Q235" s="32"/>
      <c r="R235" s="32"/>
      <c r="S235" s="32"/>
      <c r="T235" s="6"/>
    </row>
    <row r="236" spans="1:20" ht="15" customHeight="1" x14ac:dyDescent="0.2">
      <c r="A236" s="15" t="s">
        <v>88</v>
      </c>
      <c r="B236" s="22">
        <v>52</v>
      </c>
      <c r="C236" s="22">
        <v>555</v>
      </c>
      <c r="D236" s="22">
        <v>18388</v>
      </c>
      <c r="E236" s="22">
        <v>15277</v>
      </c>
      <c r="F236" s="22">
        <v>2984</v>
      </c>
      <c r="G236" s="22">
        <v>1</v>
      </c>
      <c r="H236" s="22">
        <v>0</v>
      </c>
      <c r="I236" s="22">
        <v>0</v>
      </c>
      <c r="J236" s="26">
        <v>0</v>
      </c>
      <c r="L236" s="32"/>
      <c r="M236" s="32"/>
      <c r="N236" s="32"/>
      <c r="O236" s="32"/>
      <c r="P236" s="32"/>
      <c r="Q236" s="32"/>
      <c r="R236" s="32"/>
      <c r="S236" s="32"/>
      <c r="T236" s="6"/>
    </row>
    <row r="237" spans="1:20" ht="15" customHeight="1" x14ac:dyDescent="0.2">
      <c r="A237" s="15" t="s">
        <v>116</v>
      </c>
      <c r="B237" s="22">
        <v>2026</v>
      </c>
      <c r="C237" s="22">
        <v>2774</v>
      </c>
      <c r="D237" s="22">
        <v>269566</v>
      </c>
      <c r="E237" s="22">
        <v>40655</v>
      </c>
      <c r="F237" s="22">
        <v>6630</v>
      </c>
      <c r="G237" s="22">
        <v>69</v>
      </c>
      <c r="H237" s="22">
        <v>72</v>
      </c>
      <c r="I237" s="22">
        <v>854</v>
      </c>
      <c r="J237" s="26">
        <v>0</v>
      </c>
      <c r="L237" s="32"/>
      <c r="M237" s="32"/>
      <c r="N237" s="32"/>
      <c r="O237" s="32"/>
      <c r="P237" s="32"/>
      <c r="Q237" s="32"/>
      <c r="R237" s="32"/>
      <c r="S237" s="32"/>
      <c r="T237" s="6"/>
    </row>
    <row r="238" spans="1:20" ht="15" customHeight="1" x14ac:dyDescent="0.2">
      <c r="A238" s="15" t="s">
        <v>6</v>
      </c>
      <c r="B238" s="22">
        <v>144</v>
      </c>
      <c r="C238" s="22">
        <v>56</v>
      </c>
      <c r="D238" s="22">
        <v>382</v>
      </c>
      <c r="E238" s="22">
        <v>140</v>
      </c>
      <c r="F238" s="22">
        <v>38</v>
      </c>
      <c r="G238" s="22">
        <v>3</v>
      </c>
      <c r="H238" s="22">
        <v>72</v>
      </c>
      <c r="I238" s="22">
        <v>27</v>
      </c>
      <c r="J238" s="26">
        <v>0</v>
      </c>
      <c r="L238" s="32"/>
      <c r="M238" s="32"/>
      <c r="N238" s="32"/>
      <c r="O238" s="32"/>
      <c r="P238" s="32"/>
      <c r="Q238" s="32"/>
      <c r="R238" s="32"/>
      <c r="S238" s="32"/>
      <c r="T238" s="6"/>
    </row>
    <row r="239" spans="1:20" ht="15" customHeight="1" x14ac:dyDescent="0.2">
      <c r="A239" s="15" t="s">
        <v>7</v>
      </c>
      <c r="B239" s="22">
        <v>1684</v>
      </c>
      <c r="C239" s="22">
        <v>2231</v>
      </c>
      <c r="D239" s="22">
        <v>266394</v>
      </c>
      <c r="E239" s="22">
        <v>40314</v>
      </c>
      <c r="F239" s="22">
        <v>6024</v>
      </c>
      <c r="G239" s="22">
        <v>66</v>
      </c>
      <c r="H239" s="22">
        <v>0</v>
      </c>
      <c r="I239" s="22">
        <v>827</v>
      </c>
      <c r="J239" s="26">
        <v>0</v>
      </c>
      <c r="L239" s="32"/>
      <c r="M239" s="32"/>
      <c r="N239" s="32"/>
      <c r="O239" s="32"/>
      <c r="P239" s="32"/>
      <c r="Q239" s="32"/>
      <c r="R239" s="32"/>
      <c r="S239" s="32"/>
      <c r="T239" s="6"/>
    </row>
    <row r="240" spans="1:20" ht="15" customHeight="1" x14ac:dyDescent="0.2">
      <c r="A240" s="15" t="s">
        <v>88</v>
      </c>
      <c r="B240" s="22" t="s">
        <v>101</v>
      </c>
      <c r="C240" s="22">
        <v>0</v>
      </c>
      <c r="D240" s="22" t="s">
        <v>101</v>
      </c>
      <c r="E240" s="22" t="s">
        <v>101</v>
      </c>
      <c r="F240" s="22">
        <v>0</v>
      </c>
      <c r="G240" s="22" t="s">
        <v>101</v>
      </c>
      <c r="H240" s="22">
        <v>0</v>
      </c>
      <c r="I240" s="22">
        <v>0</v>
      </c>
      <c r="J240" s="26">
        <v>0</v>
      </c>
      <c r="L240" s="32"/>
      <c r="M240" s="32"/>
      <c r="N240" s="32"/>
      <c r="O240" s="32"/>
      <c r="P240" s="32"/>
      <c r="Q240" s="32"/>
      <c r="R240" s="32"/>
      <c r="S240" s="32"/>
      <c r="T240" s="6"/>
    </row>
    <row r="241" spans="1:20" ht="15" customHeight="1" x14ac:dyDescent="0.2">
      <c r="A241" s="15" t="s">
        <v>117</v>
      </c>
      <c r="B241" s="22">
        <v>2321</v>
      </c>
      <c r="C241" s="22">
        <v>2744</v>
      </c>
      <c r="D241" s="22">
        <v>102968</v>
      </c>
      <c r="E241" s="22">
        <v>51775</v>
      </c>
      <c r="F241" s="22">
        <v>7964</v>
      </c>
      <c r="G241" s="22">
        <v>56</v>
      </c>
      <c r="H241" s="22">
        <v>87</v>
      </c>
      <c r="I241" s="22">
        <v>1344</v>
      </c>
      <c r="J241" s="26">
        <v>0</v>
      </c>
      <c r="L241" s="32"/>
      <c r="M241" s="32"/>
      <c r="N241" s="32"/>
      <c r="O241" s="32"/>
      <c r="P241" s="32"/>
      <c r="Q241" s="32"/>
      <c r="R241" s="32"/>
      <c r="S241" s="32"/>
      <c r="T241" s="6"/>
    </row>
    <row r="242" spans="1:20" ht="15" customHeight="1" x14ac:dyDescent="0.2">
      <c r="A242" s="15" t="s">
        <v>6</v>
      </c>
      <c r="B242" s="22">
        <v>1354</v>
      </c>
      <c r="C242" s="22">
        <v>302</v>
      </c>
      <c r="D242" s="22">
        <v>3107</v>
      </c>
      <c r="E242" s="22">
        <v>1419</v>
      </c>
      <c r="F242" s="22">
        <v>344</v>
      </c>
      <c r="G242" s="22">
        <v>41</v>
      </c>
      <c r="H242" s="22">
        <v>87</v>
      </c>
      <c r="I242" s="22">
        <v>10</v>
      </c>
      <c r="J242" s="26">
        <v>0</v>
      </c>
      <c r="L242" s="32"/>
      <c r="M242" s="32"/>
      <c r="N242" s="32"/>
      <c r="O242" s="32"/>
      <c r="P242" s="32"/>
      <c r="Q242" s="32"/>
      <c r="R242" s="32"/>
      <c r="S242" s="32"/>
      <c r="T242" s="6"/>
    </row>
    <row r="243" spans="1:20" ht="15" customHeight="1" x14ac:dyDescent="0.2">
      <c r="A243" s="15" t="s">
        <v>7</v>
      </c>
      <c r="B243" s="22">
        <v>706</v>
      </c>
      <c r="C243" s="22">
        <v>1785</v>
      </c>
      <c r="D243" s="22">
        <v>55336</v>
      </c>
      <c r="E243" s="22">
        <v>31244</v>
      </c>
      <c r="F243" s="22">
        <v>4162</v>
      </c>
      <c r="G243" s="22">
        <v>2</v>
      </c>
      <c r="H243" s="22">
        <v>0</v>
      </c>
      <c r="I243" s="22">
        <v>1333</v>
      </c>
      <c r="J243" s="26">
        <v>0</v>
      </c>
      <c r="L243" s="32"/>
      <c r="M243" s="32"/>
      <c r="N243" s="32"/>
      <c r="O243" s="32"/>
      <c r="P243" s="32"/>
      <c r="Q243" s="32"/>
      <c r="R243" s="32"/>
      <c r="S243" s="32"/>
      <c r="T243" s="6"/>
    </row>
    <row r="244" spans="1:20" ht="15" customHeight="1" x14ac:dyDescent="0.2">
      <c r="A244" s="15" t="s">
        <v>88</v>
      </c>
      <c r="B244" s="22">
        <v>0</v>
      </c>
      <c r="C244" s="22">
        <v>0</v>
      </c>
      <c r="D244" s="22">
        <v>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6">
        <v>0</v>
      </c>
      <c r="L244" s="32"/>
      <c r="M244" s="32"/>
      <c r="N244" s="32"/>
      <c r="O244" s="32"/>
      <c r="P244" s="32"/>
      <c r="Q244" s="32"/>
      <c r="R244" s="32"/>
      <c r="S244" s="32"/>
      <c r="T244" s="6"/>
    </row>
    <row r="245" spans="1:20" ht="15" customHeight="1" x14ac:dyDescent="0.2">
      <c r="A245" s="16" t="s">
        <v>37</v>
      </c>
      <c r="B245" s="22">
        <v>345440</v>
      </c>
      <c r="C245" s="22">
        <v>400610</v>
      </c>
      <c r="D245" s="22">
        <v>8954369</v>
      </c>
      <c r="E245" s="22">
        <v>2418221</v>
      </c>
      <c r="F245" s="22">
        <v>2255582</v>
      </c>
      <c r="G245" s="22">
        <v>1346100</v>
      </c>
      <c r="H245" s="22">
        <v>296656</v>
      </c>
      <c r="I245" s="22">
        <v>114434</v>
      </c>
      <c r="J245" s="26">
        <v>0</v>
      </c>
      <c r="L245" s="32"/>
      <c r="M245" s="32"/>
      <c r="N245" s="32"/>
      <c r="O245" s="32"/>
      <c r="P245" s="32"/>
      <c r="Q245" s="32"/>
      <c r="R245" s="32"/>
      <c r="S245" s="32"/>
      <c r="T245" s="6"/>
    </row>
    <row r="246" spans="1:20" ht="15" customHeight="1" x14ac:dyDescent="0.2">
      <c r="A246" s="15" t="s">
        <v>6</v>
      </c>
      <c r="B246" s="22">
        <v>298541</v>
      </c>
      <c r="C246" s="22">
        <v>149009</v>
      </c>
      <c r="D246" s="22">
        <v>1063580</v>
      </c>
      <c r="E246" s="22">
        <v>317795</v>
      </c>
      <c r="F246" s="22">
        <v>187800</v>
      </c>
      <c r="G246" s="22">
        <v>26791</v>
      </c>
      <c r="H246" s="22">
        <v>296656</v>
      </c>
      <c r="I246" s="22">
        <v>42976</v>
      </c>
      <c r="J246" s="26">
        <v>0</v>
      </c>
      <c r="L246" s="32"/>
      <c r="M246" s="32"/>
      <c r="N246" s="32"/>
      <c r="O246" s="32"/>
      <c r="P246" s="32"/>
      <c r="Q246" s="32"/>
      <c r="R246" s="32"/>
      <c r="S246" s="32"/>
      <c r="T246" s="6"/>
    </row>
    <row r="247" spans="1:20" ht="15" customHeight="1" x14ac:dyDescent="0.2">
      <c r="A247" s="15" t="s">
        <v>7</v>
      </c>
      <c r="B247" s="22">
        <v>8477</v>
      </c>
      <c r="C247" s="22">
        <v>184385</v>
      </c>
      <c r="D247" s="22">
        <v>5723278</v>
      </c>
      <c r="E247" s="22">
        <v>947236</v>
      </c>
      <c r="F247" s="22">
        <v>1868224</v>
      </c>
      <c r="G247" s="22">
        <v>1247110</v>
      </c>
      <c r="H247" s="22">
        <v>0</v>
      </c>
      <c r="I247" s="22">
        <v>35608</v>
      </c>
      <c r="J247" s="26">
        <v>0</v>
      </c>
      <c r="L247" s="32"/>
      <c r="M247" s="32"/>
      <c r="N247" s="32"/>
      <c r="O247" s="32"/>
      <c r="P247" s="32"/>
      <c r="Q247" s="32"/>
      <c r="R247" s="32"/>
      <c r="S247" s="32"/>
      <c r="T247" s="6"/>
    </row>
    <row r="248" spans="1:20" ht="15" customHeight="1" x14ac:dyDescent="0.2">
      <c r="A248" s="15" t="s">
        <v>88</v>
      </c>
      <c r="B248" s="22">
        <v>6</v>
      </c>
      <c r="C248" s="22">
        <v>2</v>
      </c>
      <c r="D248" s="22">
        <v>24</v>
      </c>
      <c r="E248" s="22" t="s">
        <v>101</v>
      </c>
      <c r="F248" s="22">
        <v>23</v>
      </c>
      <c r="G248" s="22" t="s">
        <v>101</v>
      </c>
      <c r="H248" s="22">
        <v>0</v>
      </c>
      <c r="I248" s="22">
        <v>0</v>
      </c>
      <c r="J248" s="26">
        <v>0</v>
      </c>
      <c r="L248" s="32"/>
      <c r="M248" s="32"/>
      <c r="N248" s="32"/>
      <c r="O248" s="32"/>
      <c r="P248" s="32"/>
      <c r="Q248" s="32"/>
      <c r="R248" s="32"/>
      <c r="S248" s="32"/>
      <c r="T248" s="6"/>
    </row>
    <row r="249" spans="1:20" ht="15" customHeight="1" x14ac:dyDescent="0.2">
      <c r="A249" s="15" t="s">
        <v>72</v>
      </c>
      <c r="B249" s="22">
        <v>2151</v>
      </c>
      <c r="C249" s="22">
        <v>35433</v>
      </c>
      <c r="D249" s="22">
        <v>434036</v>
      </c>
      <c r="E249" s="22">
        <v>155860</v>
      </c>
      <c r="F249" s="22">
        <v>121416</v>
      </c>
      <c r="G249" s="22">
        <v>6586</v>
      </c>
      <c r="H249" s="22">
        <v>609</v>
      </c>
      <c r="I249" s="22">
        <v>592</v>
      </c>
      <c r="J249" s="26">
        <v>0</v>
      </c>
      <c r="L249" s="32"/>
      <c r="M249" s="32"/>
      <c r="N249" s="32"/>
      <c r="O249" s="32"/>
      <c r="P249" s="32"/>
      <c r="Q249" s="32"/>
      <c r="R249" s="32"/>
      <c r="S249" s="32"/>
      <c r="T249" s="6"/>
    </row>
    <row r="250" spans="1:20" ht="15" customHeight="1" x14ac:dyDescent="0.2">
      <c r="A250" s="15" t="s">
        <v>6</v>
      </c>
      <c r="B250" s="22">
        <v>1550</v>
      </c>
      <c r="C250" s="22">
        <v>5370</v>
      </c>
      <c r="D250" s="22">
        <v>32189</v>
      </c>
      <c r="E250" s="22">
        <v>10070</v>
      </c>
      <c r="F250" s="22">
        <v>6502</v>
      </c>
      <c r="G250" s="22">
        <v>3778</v>
      </c>
      <c r="H250" s="22">
        <v>609</v>
      </c>
      <c r="I250" s="22">
        <v>422</v>
      </c>
      <c r="J250" s="26">
        <v>0</v>
      </c>
      <c r="L250" s="32"/>
      <c r="M250" s="32"/>
      <c r="N250" s="32"/>
      <c r="O250" s="32"/>
      <c r="P250" s="32"/>
      <c r="Q250" s="32"/>
      <c r="R250" s="32"/>
      <c r="S250" s="32"/>
      <c r="T250" s="6"/>
    </row>
    <row r="251" spans="1:20" ht="15" customHeight="1" x14ac:dyDescent="0.2">
      <c r="A251" s="15" t="s">
        <v>7</v>
      </c>
      <c r="B251" s="22">
        <v>196</v>
      </c>
      <c r="C251" s="22">
        <v>2735</v>
      </c>
      <c r="D251" s="22">
        <v>42927</v>
      </c>
      <c r="E251" s="22">
        <v>6456</v>
      </c>
      <c r="F251" s="22">
        <v>31759</v>
      </c>
      <c r="G251" s="22">
        <v>2647</v>
      </c>
      <c r="H251" s="22">
        <v>0</v>
      </c>
      <c r="I251" s="22">
        <v>155</v>
      </c>
      <c r="J251" s="26">
        <v>0</v>
      </c>
      <c r="L251" s="32"/>
      <c r="M251" s="32"/>
      <c r="N251" s="32"/>
      <c r="O251" s="32"/>
      <c r="P251" s="32"/>
      <c r="Q251" s="32"/>
      <c r="R251" s="32"/>
      <c r="S251" s="32"/>
      <c r="T251" s="6"/>
    </row>
    <row r="252" spans="1:20" ht="15" customHeight="1" x14ac:dyDescent="0.2">
      <c r="A252" s="15" t="s">
        <v>88</v>
      </c>
      <c r="B252" s="22">
        <v>243</v>
      </c>
      <c r="C252" s="22">
        <v>24758</v>
      </c>
      <c r="D252" s="22">
        <v>343645</v>
      </c>
      <c r="E252" s="22">
        <v>138415</v>
      </c>
      <c r="F252" s="22">
        <v>81038</v>
      </c>
      <c r="G252" s="22">
        <v>16</v>
      </c>
      <c r="H252" s="22">
        <v>0</v>
      </c>
      <c r="I252" s="22">
        <v>0</v>
      </c>
      <c r="J252" s="26">
        <v>0</v>
      </c>
      <c r="L252" s="32"/>
      <c r="M252" s="32"/>
      <c r="N252" s="32"/>
      <c r="O252" s="32"/>
      <c r="P252" s="32"/>
      <c r="Q252" s="32"/>
      <c r="R252" s="32"/>
      <c r="S252" s="32"/>
      <c r="T252" s="6"/>
    </row>
    <row r="253" spans="1:20" ht="15" customHeight="1" x14ac:dyDescent="0.2">
      <c r="A253" s="15" t="s">
        <v>118</v>
      </c>
      <c r="B253" s="22">
        <v>4044</v>
      </c>
      <c r="C253" s="22">
        <v>795</v>
      </c>
      <c r="D253" s="22">
        <v>102014</v>
      </c>
      <c r="E253" s="22">
        <v>94627</v>
      </c>
      <c r="F253" s="22">
        <v>916</v>
      </c>
      <c r="G253" s="22">
        <v>1786</v>
      </c>
      <c r="H253" s="22">
        <v>170</v>
      </c>
      <c r="I253" s="22">
        <v>620</v>
      </c>
      <c r="J253" s="26">
        <v>0</v>
      </c>
      <c r="L253" s="32"/>
      <c r="M253" s="32"/>
      <c r="N253" s="32"/>
      <c r="O253" s="32"/>
      <c r="P253" s="32"/>
      <c r="Q253" s="32"/>
      <c r="R253" s="32"/>
      <c r="S253" s="32"/>
      <c r="T253" s="6"/>
    </row>
    <row r="254" spans="1:20" ht="15" customHeight="1" x14ac:dyDescent="0.2">
      <c r="A254" s="15" t="s">
        <v>6</v>
      </c>
      <c r="B254" s="22">
        <v>3812</v>
      </c>
      <c r="C254" s="22">
        <v>719</v>
      </c>
      <c r="D254" s="22">
        <v>7544</v>
      </c>
      <c r="E254" s="22">
        <v>911</v>
      </c>
      <c r="F254" s="22">
        <v>825</v>
      </c>
      <c r="G254" s="22">
        <v>1573</v>
      </c>
      <c r="H254" s="22">
        <v>170</v>
      </c>
      <c r="I254" s="22">
        <v>255</v>
      </c>
      <c r="J254" s="26">
        <v>0</v>
      </c>
      <c r="L254" s="32"/>
      <c r="M254" s="32"/>
      <c r="N254" s="32"/>
      <c r="O254" s="32"/>
      <c r="P254" s="32"/>
      <c r="Q254" s="32"/>
      <c r="R254" s="32"/>
      <c r="S254" s="32"/>
      <c r="T254" s="6"/>
    </row>
    <row r="255" spans="1:20" ht="15" customHeight="1" x14ac:dyDescent="0.2">
      <c r="A255" s="15" t="s">
        <v>7</v>
      </c>
      <c r="B255" s="22">
        <v>60</v>
      </c>
      <c r="C255" s="22">
        <v>10</v>
      </c>
      <c r="D255" s="22">
        <v>487</v>
      </c>
      <c r="E255" s="22">
        <v>45</v>
      </c>
      <c r="F255" s="22">
        <v>4</v>
      </c>
      <c r="G255" s="22">
        <v>71</v>
      </c>
      <c r="H255" s="22">
        <v>0</v>
      </c>
      <c r="I255" s="22">
        <v>353</v>
      </c>
      <c r="J255" s="26">
        <v>0</v>
      </c>
      <c r="L255" s="32"/>
      <c r="M255" s="32"/>
      <c r="N255" s="32"/>
      <c r="O255" s="32"/>
      <c r="P255" s="32"/>
      <c r="Q255" s="32"/>
      <c r="R255" s="32"/>
      <c r="S255" s="32"/>
      <c r="T255" s="6"/>
    </row>
    <row r="256" spans="1:20" ht="15" customHeight="1" x14ac:dyDescent="0.2">
      <c r="A256" s="15" t="s">
        <v>88</v>
      </c>
      <c r="B256" s="22" t="s">
        <v>101</v>
      </c>
      <c r="C256" s="22" t="s">
        <v>101</v>
      </c>
      <c r="D256" s="22" t="s">
        <v>101</v>
      </c>
      <c r="E256" s="22">
        <v>0</v>
      </c>
      <c r="F256" s="22" t="s">
        <v>101</v>
      </c>
      <c r="G256" s="22">
        <v>0</v>
      </c>
      <c r="H256" s="22">
        <v>0</v>
      </c>
      <c r="I256" s="22">
        <v>0</v>
      </c>
      <c r="J256" s="26">
        <v>0</v>
      </c>
      <c r="L256" s="32"/>
      <c r="M256" s="32"/>
      <c r="N256" s="32"/>
      <c r="O256" s="32"/>
      <c r="P256" s="32"/>
      <c r="Q256" s="32"/>
      <c r="R256" s="32"/>
      <c r="S256" s="32"/>
      <c r="T256" s="6"/>
    </row>
    <row r="257" spans="1:20" ht="15" customHeight="1" x14ac:dyDescent="0.2">
      <c r="A257" s="16" t="s">
        <v>38</v>
      </c>
      <c r="B257" s="22">
        <v>105577</v>
      </c>
      <c r="C257" s="22">
        <v>246990</v>
      </c>
      <c r="D257" s="22">
        <v>30611509</v>
      </c>
      <c r="E257" s="22">
        <v>10034545</v>
      </c>
      <c r="F257" s="22">
        <v>12824985</v>
      </c>
      <c r="G257" s="22">
        <v>2395833</v>
      </c>
      <c r="H257" s="22">
        <v>22232</v>
      </c>
      <c r="I257" s="22">
        <v>164725</v>
      </c>
      <c r="J257" s="26">
        <v>2071</v>
      </c>
      <c r="L257" s="32"/>
      <c r="M257" s="32"/>
      <c r="N257" s="32"/>
      <c r="O257" s="32"/>
      <c r="P257" s="32"/>
      <c r="Q257" s="32"/>
      <c r="R257" s="32"/>
      <c r="S257" s="32"/>
      <c r="T257" s="6"/>
    </row>
    <row r="258" spans="1:20" ht="15" customHeight="1" x14ac:dyDescent="0.2">
      <c r="A258" s="15" t="s">
        <v>6</v>
      </c>
      <c r="B258" s="22">
        <v>76589</v>
      </c>
      <c r="C258" s="22">
        <v>20605</v>
      </c>
      <c r="D258" s="22">
        <v>154463</v>
      </c>
      <c r="E258" s="22">
        <v>12826</v>
      </c>
      <c r="F258" s="22">
        <v>42112</v>
      </c>
      <c r="G258" s="22">
        <v>14728</v>
      </c>
      <c r="H258" s="22">
        <v>22232</v>
      </c>
      <c r="I258" s="22">
        <v>12784</v>
      </c>
      <c r="J258" s="26">
        <v>0</v>
      </c>
      <c r="L258" s="32"/>
      <c r="M258" s="32"/>
      <c r="N258" s="32"/>
      <c r="O258" s="32"/>
      <c r="P258" s="32"/>
      <c r="Q258" s="32"/>
      <c r="R258" s="32"/>
      <c r="S258" s="32"/>
      <c r="T258" s="6"/>
    </row>
    <row r="259" spans="1:20" ht="15" customHeight="1" x14ac:dyDescent="0.2">
      <c r="A259" s="15" t="s">
        <v>7</v>
      </c>
      <c r="B259" s="22">
        <v>11228</v>
      </c>
      <c r="C259" s="22">
        <v>142842</v>
      </c>
      <c r="D259" s="22">
        <v>18124382</v>
      </c>
      <c r="E259" s="22">
        <v>6683197</v>
      </c>
      <c r="F259" s="22">
        <v>5348126</v>
      </c>
      <c r="G259" s="22">
        <v>2105774</v>
      </c>
      <c r="H259" s="22">
        <v>0</v>
      </c>
      <c r="I259" s="22">
        <v>116331</v>
      </c>
      <c r="J259" s="26">
        <v>19</v>
      </c>
      <c r="L259" s="32"/>
      <c r="M259" s="32"/>
      <c r="N259" s="32"/>
      <c r="O259" s="32"/>
      <c r="P259" s="32"/>
      <c r="Q259" s="32"/>
      <c r="R259" s="32"/>
      <c r="S259" s="32"/>
      <c r="T259" s="6"/>
    </row>
    <row r="260" spans="1:20" ht="15" customHeight="1" x14ac:dyDescent="0.2">
      <c r="A260" s="15" t="s">
        <v>88</v>
      </c>
      <c r="B260" s="22">
        <v>147</v>
      </c>
      <c r="C260" s="22">
        <v>43203</v>
      </c>
      <c r="D260" s="22">
        <v>405616</v>
      </c>
      <c r="E260" s="22">
        <v>105439</v>
      </c>
      <c r="F260" s="22">
        <v>233029</v>
      </c>
      <c r="G260" s="22">
        <v>33047</v>
      </c>
      <c r="H260" s="22">
        <v>0</v>
      </c>
      <c r="I260" s="22">
        <v>0</v>
      </c>
      <c r="J260" s="26">
        <v>0</v>
      </c>
      <c r="L260" s="32"/>
      <c r="M260" s="32"/>
      <c r="N260" s="32"/>
      <c r="O260" s="32"/>
      <c r="P260" s="32"/>
      <c r="Q260" s="32"/>
      <c r="R260" s="32"/>
      <c r="S260" s="32"/>
      <c r="T260" s="6"/>
    </row>
    <row r="261" spans="1:20" ht="15" customHeight="1" x14ac:dyDescent="0.2">
      <c r="A261" s="16" t="s">
        <v>39</v>
      </c>
      <c r="B261" s="22">
        <v>40406</v>
      </c>
      <c r="C261" s="22">
        <v>40571</v>
      </c>
      <c r="D261" s="22">
        <v>892784</v>
      </c>
      <c r="E261" s="22">
        <v>287979</v>
      </c>
      <c r="F261" s="22">
        <v>388537</v>
      </c>
      <c r="G261" s="22">
        <v>89303</v>
      </c>
      <c r="H261" s="22">
        <v>1715</v>
      </c>
      <c r="I261" s="22">
        <v>27871</v>
      </c>
      <c r="J261" s="26">
        <v>0</v>
      </c>
      <c r="L261" s="32"/>
      <c r="M261" s="32"/>
      <c r="N261" s="32"/>
      <c r="O261" s="32"/>
      <c r="P261" s="32"/>
      <c r="Q261" s="32"/>
      <c r="R261" s="32"/>
      <c r="S261" s="32"/>
      <c r="T261" s="6"/>
    </row>
    <row r="262" spans="1:20" ht="15" customHeight="1" x14ac:dyDescent="0.2">
      <c r="A262" s="15" t="s">
        <v>6</v>
      </c>
      <c r="B262" s="22">
        <v>28354</v>
      </c>
      <c r="C262" s="22">
        <v>6030</v>
      </c>
      <c r="D262" s="22">
        <v>51133</v>
      </c>
      <c r="E262" s="22">
        <v>2777</v>
      </c>
      <c r="F262" s="22">
        <v>13478</v>
      </c>
      <c r="G262" s="22">
        <v>9749</v>
      </c>
      <c r="H262" s="22">
        <v>1715</v>
      </c>
      <c r="I262" s="22">
        <v>2408</v>
      </c>
      <c r="J262" s="26">
        <v>0</v>
      </c>
      <c r="L262" s="32"/>
      <c r="M262" s="32"/>
      <c r="N262" s="32"/>
      <c r="O262" s="32"/>
      <c r="P262" s="32"/>
      <c r="Q262" s="32"/>
      <c r="R262" s="32"/>
      <c r="S262" s="32"/>
      <c r="T262" s="6"/>
    </row>
    <row r="263" spans="1:20" ht="15" customHeight="1" x14ac:dyDescent="0.2">
      <c r="A263" s="15" t="s">
        <v>7</v>
      </c>
      <c r="B263" s="22">
        <v>3152</v>
      </c>
      <c r="C263" s="22">
        <v>9491</v>
      </c>
      <c r="D263" s="22">
        <v>181315</v>
      </c>
      <c r="E263" s="22">
        <v>49528</v>
      </c>
      <c r="F263" s="22">
        <v>37759</v>
      </c>
      <c r="G263" s="22">
        <v>55328</v>
      </c>
      <c r="H263" s="22">
        <v>0</v>
      </c>
      <c r="I263" s="22">
        <v>22604</v>
      </c>
      <c r="J263" s="26">
        <v>0</v>
      </c>
      <c r="L263" s="32"/>
      <c r="M263" s="32"/>
      <c r="N263" s="32"/>
      <c r="O263" s="32"/>
      <c r="P263" s="32"/>
      <c r="Q263" s="32"/>
      <c r="R263" s="32"/>
      <c r="S263" s="32"/>
      <c r="T263" s="6"/>
    </row>
    <row r="264" spans="1:20" ht="15" customHeight="1" x14ac:dyDescent="0.2">
      <c r="A264" s="15" t="s">
        <v>88</v>
      </c>
      <c r="B264" s="22">
        <v>70</v>
      </c>
      <c r="C264" s="22">
        <v>88</v>
      </c>
      <c r="D264" s="22">
        <v>5797</v>
      </c>
      <c r="E264" s="22">
        <v>5098</v>
      </c>
      <c r="F264" s="22">
        <v>520</v>
      </c>
      <c r="G264" s="22">
        <v>104</v>
      </c>
      <c r="H264" s="22">
        <v>0</v>
      </c>
      <c r="I264" s="22">
        <v>0</v>
      </c>
      <c r="J264" s="26">
        <v>0</v>
      </c>
      <c r="L264" s="32"/>
      <c r="M264" s="32"/>
      <c r="N264" s="32"/>
      <c r="O264" s="32"/>
      <c r="P264" s="32"/>
      <c r="Q264" s="32"/>
      <c r="R264" s="32"/>
      <c r="S264" s="32"/>
      <c r="T264" s="6"/>
    </row>
    <row r="265" spans="1:20" ht="15" customHeight="1" x14ac:dyDescent="0.2">
      <c r="A265" s="15" t="s">
        <v>119</v>
      </c>
      <c r="B265" s="22">
        <v>11283</v>
      </c>
      <c r="C265" s="22">
        <v>4979</v>
      </c>
      <c r="D265" s="22">
        <v>238028</v>
      </c>
      <c r="E265" s="22">
        <v>18353</v>
      </c>
      <c r="F265" s="22">
        <v>2130</v>
      </c>
      <c r="G265" s="22">
        <v>28436</v>
      </c>
      <c r="H265" s="22">
        <v>443</v>
      </c>
      <c r="I265" s="22">
        <v>1133</v>
      </c>
      <c r="J265" s="26">
        <v>0</v>
      </c>
      <c r="L265" s="32"/>
      <c r="M265" s="32"/>
      <c r="N265" s="32"/>
      <c r="O265" s="32"/>
      <c r="P265" s="32"/>
      <c r="Q265" s="32"/>
      <c r="R265" s="32"/>
      <c r="S265" s="32"/>
      <c r="T265" s="6"/>
    </row>
    <row r="266" spans="1:20" ht="15" customHeight="1" x14ac:dyDescent="0.2">
      <c r="A266" s="15" t="s">
        <v>6</v>
      </c>
      <c r="B266" s="22">
        <v>10478</v>
      </c>
      <c r="C266" s="22">
        <v>4163</v>
      </c>
      <c r="D266" s="22">
        <v>22280</v>
      </c>
      <c r="E266" s="22">
        <v>749</v>
      </c>
      <c r="F266" s="22">
        <v>1256</v>
      </c>
      <c r="G266" s="22">
        <v>2052</v>
      </c>
      <c r="H266" s="22">
        <v>443</v>
      </c>
      <c r="I266" s="22">
        <v>989</v>
      </c>
      <c r="J266" s="26">
        <v>0</v>
      </c>
      <c r="L266" s="32"/>
      <c r="M266" s="32"/>
      <c r="N266" s="32"/>
      <c r="O266" s="32"/>
      <c r="P266" s="32"/>
      <c r="Q266" s="32"/>
      <c r="R266" s="32"/>
      <c r="S266" s="32"/>
      <c r="T266" s="6"/>
    </row>
    <row r="267" spans="1:20" ht="15" customHeight="1" x14ac:dyDescent="0.2">
      <c r="A267" s="15" t="s">
        <v>7</v>
      </c>
      <c r="B267" s="22">
        <v>198</v>
      </c>
      <c r="C267" s="22">
        <v>470</v>
      </c>
      <c r="D267" s="22">
        <v>6844</v>
      </c>
      <c r="E267" s="22">
        <v>5825</v>
      </c>
      <c r="F267" s="22">
        <v>662</v>
      </c>
      <c r="G267" s="22">
        <v>117</v>
      </c>
      <c r="H267" s="22">
        <v>0</v>
      </c>
      <c r="I267" s="22">
        <v>70</v>
      </c>
      <c r="J267" s="26">
        <v>0</v>
      </c>
      <c r="L267" s="32"/>
      <c r="M267" s="32"/>
      <c r="N267" s="32"/>
      <c r="O267" s="32"/>
      <c r="P267" s="32"/>
      <c r="Q267" s="32"/>
      <c r="R267" s="32"/>
      <c r="S267" s="32"/>
      <c r="T267" s="6"/>
    </row>
    <row r="268" spans="1:20" ht="15" customHeight="1" x14ac:dyDescent="0.2">
      <c r="A268" s="15" t="s">
        <v>88</v>
      </c>
      <c r="B268" s="22" t="s">
        <v>101</v>
      </c>
      <c r="C268" s="22">
        <v>0</v>
      </c>
      <c r="D268" s="22" t="s">
        <v>101</v>
      </c>
      <c r="E268" s="22" t="s">
        <v>101</v>
      </c>
      <c r="F268" s="22">
        <v>0</v>
      </c>
      <c r="G268" s="22">
        <v>0</v>
      </c>
      <c r="H268" s="22">
        <v>0</v>
      </c>
      <c r="I268" s="22">
        <v>0</v>
      </c>
      <c r="J268" s="26">
        <v>0</v>
      </c>
      <c r="L268" s="32"/>
      <c r="M268" s="32"/>
      <c r="N268" s="32"/>
      <c r="O268" s="32"/>
      <c r="P268" s="32"/>
      <c r="Q268" s="32"/>
      <c r="R268" s="32"/>
      <c r="S268" s="32"/>
      <c r="T268" s="6"/>
    </row>
    <row r="269" spans="1:20" ht="15" customHeight="1" x14ac:dyDescent="0.2">
      <c r="A269" s="16" t="s">
        <v>40</v>
      </c>
      <c r="B269" s="22">
        <v>30532</v>
      </c>
      <c r="C269" s="22">
        <v>73407</v>
      </c>
      <c r="D269" s="22">
        <v>10897949</v>
      </c>
      <c r="E269" s="22">
        <v>3668993</v>
      </c>
      <c r="F269" s="22">
        <v>6391313</v>
      </c>
      <c r="G269" s="22">
        <v>106565</v>
      </c>
      <c r="H269" s="22">
        <v>21860</v>
      </c>
      <c r="I269" s="22">
        <v>81564</v>
      </c>
      <c r="J269" s="26">
        <v>936</v>
      </c>
      <c r="L269" s="32"/>
      <c r="M269" s="32"/>
      <c r="N269" s="32"/>
      <c r="O269" s="32"/>
      <c r="P269" s="32"/>
      <c r="Q269" s="32"/>
      <c r="R269" s="32"/>
      <c r="S269" s="32"/>
      <c r="T269" s="6"/>
    </row>
    <row r="270" spans="1:20" ht="15" customHeight="1" x14ac:dyDescent="0.2">
      <c r="A270" s="15" t="s">
        <v>6</v>
      </c>
      <c r="B270" s="22">
        <v>26081</v>
      </c>
      <c r="C270" s="22">
        <v>12129</v>
      </c>
      <c r="D270" s="22">
        <v>75009</v>
      </c>
      <c r="E270" s="22">
        <v>750</v>
      </c>
      <c r="F270" s="22">
        <v>8889</v>
      </c>
      <c r="G270" s="22">
        <v>15528</v>
      </c>
      <c r="H270" s="22">
        <v>21860</v>
      </c>
      <c r="I270" s="22">
        <v>12924</v>
      </c>
      <c r="J270" s="26">
        <v>0</v>
      </c>
      <c r="L270" s="32"/>
      <c r="M270" s="32"/>
      <c r="N270" s="32"/>
      <c r="O270" s="32"/>
      <c r="P270" s="32"/>
      <c r="Q270" s="32"/>
      <c r="R270" s="32"/>
      <c r="S270" s="32"/>
      <c r="T270" s="6"/>
    </row>
    <row r="271" spans="1:20" ht="15" customHeight="1" x14ac:dyDescent="0.2">
      <c r="A271" s="15" t="s">
        <v>7</v>
      </c>
      <c r="B271" s="22">
        <v>2079</v>
      </c>
      <c r="C271" s="22">
        <v>36241</v>
      </c>
      <c r="D271" s="22">
        <v>997025</v>
      </c>
      <c r="E271" s="22">
        <v>481561</v>
      </c>
      <c r="F271" s="22">
        <v>195986</v>
      </c>
      <c r="G271" s="22">
        <v>80178</v>
      </c>
      <c r="H271" s="22">
        <v>0</v>
      </c>
      <c r="I271" s="22">
        <v>66293</v>
      </c>
      <c r="J271" s="26">
        <v>0</v>
      </c>
      <c r="L271" s="32"/>
      <c r="M271" s="32"/>
      <c r="N271" s="32"/>
      <c r="O271" s="32"/>
      <c r="P271" s="32"/>
      <c r="Q271" s="32"/>
      <c r="R271" s="32"/>
      <c r="S271" s="32"/>
      <c r="T271" s="6"/>
    </row>
    <row r="272" spans="1:20" ht="15" customHeight="1" x14ac:dyDescent="0.2">
      <c r="A272" s="15" t="s">
        <v>88</v>
      </c>
      <c r="B272" s="22">
        <v>24</v>
      </c>
      <c r="C272" s="22">
        <v>19710</v>
      </c>
      <c r="D272" s="22">
        <v>265988</v>
      </c>
      <c r="E272" s="22">
        <v>134463</v>
      </c>
      <c r="F272" s="22">
        <v>130094</v>
      </c>
      <c r="G272" s="22">
        <v>55</v>
      </c>
      <c r="H272" s="22">
        <v>0</v>
      </c>
      <c r="I272" s="22">
        <v>0</v>
      </c>
      <c r="J272" s="26">
        <v>0</v>
      </c>
      <c r="L272" s="32"/>
      <c r="M272" s="32"/>
      <c r="N272" s="32"/>
      <c r="O272" s="32"/>
      <c r="P272" s="32"/>
      <c r="Q272" s="32"/>
      <c r="R272" s="32"/>
      <c r="S272" s="32"/>
      <c r="T272" s="6"/>
    </row>
    <row r="273" spans="1:20" ht="15" customHeight="1" x14ac:dyDescent="0.2">
      <c r="A273" s="16" t="s">
        <v>62</v>
      </c>
      <c r="B273" s="22">
        <v>1901</v>
      </c>
      <c r="C273" s="22">
        <v>6896</v>
      </c>
      <c r="D273" s="22">
        <v>385149</v>
      </c>
      <c r="E273" s="22">
        <v>154666</v>
      </c>
      <c r="F273" s="22">
        <v>90696</v>
      </c>
      <c r="G273" s="22">
        <v>5903</v>
      </c>
      <c r="H273" s="22">
        <v>0</v>
      </c>
      <c r="I273" s="22">
        <v>734</v>
      </c>
      <c r="J273" s="26">
        <v>0</v>
      </c>
      <c r="L273" s="32"/>
      <c r="M273" s="32"/>
      <c r="N273" s="32"/>
      <c r="O273" s="32"/>
      <c r="P273" s="32"/>
      <c r="Q273" s="32"/>
      <c r="R273" s="32"/>
      <c r="S273" s="32"/>
      <c r="T273" s="6"/>
    </row>
    <row r="274" spans="1:20" ht="15" customHeight="1" x14ac:dyDescent="0.2">
      <c r="A274" s="15" t="s">
        <v>6</v>
      </c>
      <c r="B274" s="22">
        <v>1499</v>
      </c>
      <c r="C274" s="22">
        <v>286</v>
      </c>
      <c r="D274" s="22">
        <v>2305</v>
      </c>
      <c r="E274" s="22">
        <v>1129</v>
      </c>
      <c r="F274" s="22">
        <v>928</v>
      </c>
      <c r="G274" s="22">
        <v>81</v>
      </c>
      <c r="H274" s="22">
        <v>0</v>
      </c>
      <c r="I274" s="22">
        <v>9</v>
      </c>
      <c r="J274" s="26">
        <v>0</v>
      </c>
      <c r="L274" s="32"/>
      <c r="M274" s="32"/>
      <c r="N274" s="32"/>
      <c r="O274" s="32"/>
      <c r="P274" s="32"/>
      <c r="Q274" s="32"/>
      <c r="R274" s="32"/>
      <c r="S274" s="32"/>
      <c r="T274" s="6"/>
    </row>
    <row r="275" spans="1:20" ht="15" customHeight="1" x14ac:dyDescent="0.2">
      <c r="A275" s="15" t="s">
        <v>7</v>
      </c>
      <c r="B275" s="22">
        <v>80</v>
      </c>
      <c r="C275" s="22">
        <v>4264</v>
      </c>
      <c r="D275" s="22">
        <v>38662</v>
      </c>
      <c r="E275" s="22">
        <v>10532</v>
      </c>
      <c r="F275" s="22">
        <v>12902</v>
      </c>
      <c r="G275" s="22">
        <v>0</v>
      </c>
      <c r="H275" s="22">
        <v>0</v>
      </c>
      <c r="I275" s="22">
        <v>694</v>
      </c>
      <c r="J275" s="26">
        <v>0</v>
      </c>
      <c r="L275" s="32"/>
      <c r="M275" s="32"/>
      <c r="N275" s="32"/>
      <c r="O275" s="32"/>
      <c r="P275" s="32"/>
      <c r="Q275" s="32"/>
      <c r="R275" s="32"/>
      <c r="S275" s="32"/>
      <c r="T275" s="6"/>
    </row>
    <row r="276" spans="1:20" ht="15" customHeight="1" x14ac:dyDescent="0.2">
      <c r="A276" s="15" t="s">
        <v>88</v>
      </c>
      <c r="B276" s="22">
        <v>0</v>
      </c>
      <c r="C276" s="22">
        <v>0</v>
      </c>
      <c r="D276" s="22">
        <v>0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6">
        <v>0</v>
      </c>
      <c r="L276" s="32"/>
      <c r="M276" s="32"/>
      <c r="N276" s="32"/>
      <c r="O276" s="32"/>
      <c r="P276" s="32"/>
      <c r="Q276" s="32"/>
      <c r="R276" s="32"/>
      <c r="S276" s="32"/>
      <c r="T276" s="6"/>
    </row>
    <row r="277" spans="1:20" ht="15" customHeight="1" x14ac:dyDescent="0.2">
      <c r="A277" s="16" t="s">
        <v>41</v>
      </c>
      <c r="B277" s="22">
        <v>37776</v>
      </c>
      <c r="C277" s="22">
        <v>57204</v>
      </c>
      <c r="D277" s="22">
        <v>894116</v>
      </c>
      <c r="E277" s="22">
        <v>622185</v>
      </c>
      <c r="F277" s="22">
        <v>170545</v>
      </c>
      <c r="G277" s="22">
        <v>22084</v>
      </c>
      <c r="H277" s="22">
        <v>3073</v>
      </c>
      <c r="I277" s="22">
        <v>3069</v>
      </c>
      <c r="J277" s="26">
        <v>0</v>
      </c>
      <c r="L277" s="32"/>
      <c r="M277" s="32"/>
      <c r="N277" s="32"/>
      <c r="O277" s="32"/>
      <c r="P277" s="32"/>
      <c r="Q277" s="32"/>
      <c r="R277" s="32"/>
      <c r="S277" s="32"/>
      <c r="T277" s="6"/>
    </row>
    <row r="278" spans="1:20" ht="15" customHeight="1" x14ac:dyDescent="0.2">
      <c r="A278" s="15" t="s">
        <v>6</v>
      </c>
      <c r="B278" s="22">
        <v>8342</v>
      </c>
      <c r="C278" s="22">
        <v>3869</v>
      </c>
      <c r="D278" s="22">
        <v>26593</v>
      </c>
      <c r="E278" s="22">
        <v>10681</v>
      </c>
      <c r="F278" s="22">
        <v>5462</v>
      </c>
      <c r="G278" s="22">
        <v>392</v>
      </c>
      <c r="H278" s="22">
        <v>3073</v>
      </c>
      <c r="I278" s="22">
        <v>547</v>
      </c>
      <c r="J278" s="26">
        <v>0</v>
      </c>
      <c r="L278" s="32"/>
      <c r="M278" s="32"/>
      <c r="N278" s="32"/>
      <c r="O278" s="32"/>
      <c r="P278" s="32"/>
      <c r="Q278" s="32"/>
      <c r="R278" s="32"/>
      <c r="S278" s="32"/>
      <c r="T278" s="6"/>
    </row>
    <row r="279" spans="1:20" ht="15" customHeight="1" x14ac:dyDescent="0.2">
      <c r="A279" s="15" t="s">
        <v>7</v>
      </c>
      <c r="B279" s="22">
        <v>27864</v>
      </c>
      <c r="C279" s="22">
        <v>48498</v>
      </c>
      <c r="D279" s="22">
        <v>708219</v>
      </c>
      <c r="E279" s="22">
        <v>471906</v>
      </c>
      <c r="F279" s="22">
        <v>150377</v>
      </c>
      <c r="G279" s="22">
        <v>21314</v>
      </c>
      <c r="H279" s="22">
        <v>0</v>
      </c>
      <c r="I279" s="22">
        <v>945</v>
      </c>
      <c r="J279" s="26">
        <v>0</v>
      </c>
      <c r="L279" s="32"/>
      <c r="M279" s="32"/>
      <c r="N279" s="32"/>
      <c r="O279" s="32"/>
      <c r="P279" s="32"/>
      <c r="Q279" s="32"/>
      <c r="R279" s="32"/>
      <c r="S279" s="32"/>
      <c r="T279" s="6"/>
    </row>
    <row r="280" spans="1:20" ht="15" customHeight="1" x14ac:dyDescent="0.2">
      <c r="A280" s="15" t="s">
        <v>88</v>
      </c>
      <c r="B280" s="22">
        <v>96</v>
      </c>
      <c r="C280" s="22">
        <v>1793</v>
      </c>
      <c r="D280" s="22">
        <v>26631</v>
      </c>
      <c r="E280" s="22">
        <v>20815</v>
      </c>
      <c r="F280" s="22">
        <v>5471</v>
      </c>
      <c r="G280" s="22">
        <v>0</v>
      </c>
      <c r="H280" s="22">
        <v>0</v>
      </c>
      <c r="I280" s="22">
        <v>0</v>
      </c>
      <c r="J280" s="26">
        <v>0</v>
      </c>
      <c r="L280" s="32"/>
      <c r="M280" s="32"/>
      <c r="N280" s="32"/>
      <c r="O280" s="32"/>
      <c r="P280" s="32"/>
      <c r="Q280" s="32"/>
      <c r="R280" s="32"/>
      <c r="S280" s="32"/>
      <c r="T280" s="6"/>
    </row>
    <row r="281" spans="1:20" ht="15" customHeight="1" x14ac:dyDescent="0.2">
      <c r="A281" s="16" t="s">
        <v>63</v>
      </c>
      <c r="B281" s="22">
        <v>16098</v>
      </c>
      <c r="C281" s="22">
        <v>75177</v>
      </c>
      <c r="D281" s="22">
        <v>855170</v>
      </c>
      <c r="E281" s="22">
        <v>535776</v>
      </c>
      <c r="F281" s="22">
        <v>240789</v>
      </c>
      <c r="G281" s="22">
        <v>5892</v>
      </c>
      <c r="H281" s="22">
        <v>2837</v>
      </c>
      <c r="I281" s="22">
        <v>2193</v>
      </c>
      <c r="J281" s="26">
        <v>0</v>
      </c>
      <c r="L281" s="32"/>
      <c r="M281" s="32"/>
      <c r="N281" s="32"/>
      <c r="O281" s="32"/>
      <c r="P281" s="32"/>
      <c r="Q281" s="32"/>
      <c r="R281" s="32"/>
      <c r="S281" s="32"/>
      <c r="T281" s="6"/>
    </row>
    <row r="282" spans="1:20" ht="15" customHeight="1" x14ac:dyDescent="0.2">
      <c r="A282" s="15" t="s">
        <v>6</v>
      </c>
      <c r="B282" s="22">
        <v>12725</v>
      </c>
      <c r="C282" s="22">
        <v>3791</v>
      </c>
      <c r="D282" s="22">
        <v>35771</v>
      </c>
      <c r="E282" s="22">
        <v>17384</v>
      </c>
      <c r="F282" s="22">
        <v>4684</v>
      </c>
      <c r="G282" s="22">
        <v>1181</v>
      </c>
      <c r="H282" s="22">
        <v>2837</v>
      </c>
      <c r="I282" s="22">
        <v>1017</v>
      </c>
      <c r="J282" s="26">
        <v>0</v>
      </c>
      <c r="L282" s="32"/>
      <c r="M282" s="32"/>
      <c r="N282" s="32"/>
      <c r="O282" s="32"/>
      <c r="P282" s="32"/>
      <c r="Q282" s="32"/>
      <c r="R282" s="32"/>
      <c r="S282" s="32"/>
      <c r="T282" s="6"/>
    </row>
    <row r="283" spans="1:20" ht="15" customHeight="1" x14ac:dyDescent="0.2">
      <c r="A283" s="15" t="s">
        <v>7</v>
      </c>
      <c r="B283" s="22">
        <v>1408</v>
      </c>
      <c r="C283" s="22">
        <v>49721</v>
      </c>
      <c r="D283" s="22">
        <v>287063</v>
      </c>
      <c r="E283" s="22">
        <v>93170</v>
      </c>
      <c r="F283" s="22">
        <v>161335</v>
      </c>
      <c r="G283" s="22">
        <v>3725</v>
      </c>
      <c r="H283" s="22">
        <v>0</v>
      </c>
      <c r="I283" s="22">
        <v>615</v>
      </c>
      <c r="J283" s="26">
        <v>0</v>
      </c>
      <c r="L283" s="32"/>
      <c r="M283" s="32"/>
      <c r="N283" s="32"/>
      <c r="O283" s="32"/>
      <c r="P283" s="32"/>
      <c r="Q283" s="32"/>
      <c r="R283" s="32"/>
      <c r="S283" s="32"/>
      <c r="T283" s="6"/>
    </row>
    <row r="284" spans="1:20" ht="15" customHeight="1" x14ac:dyDescent="0.2">
      <c r="A284" s="15" t="s">
        <v>88</v>
      </c>
      <c r="B284" s="22" t="s">
        <v>101</v>
      </c>
      <c r="C284" s="22" t="s">
        <v>101</v>
      </c>
      <c r="D284" s="22" t="s">
        <v>101</v>
      </c>
      <c r="E284" s="22" t="s">
        <v>101</v>
      </c>
      <c r="F284" s="22" t="s">
        <v>101</v>
      </c>
      <c r="G284" s="22">
        <v>0</v>
      </c>
      <c r="H284" s="22">
        <v>0</v>
      </c>
      <c r="I284" s="22">
        <v>0</v>
      </c>
      <c r="J284" s="26">
        <v>0</v>
      </c>
      <c r="L284" s="32"/>
      <c r="M284" s="32"/>
      <c r="N284" s="32"/>
      <c r="O284" s="32"/>
      <c r="P284" s="32"/>
      <c r="Q284" s="32"/>
      <c r="R284" s="32"/>
      <c r="S284" s="32"/>
      <c r="T284" s="6"/>
    </row>
    <row r="285" spans="1:20" ht="15" customHeight="1" x14ac:dyDescent="0.2">
      <c r="A285" s="16" t="s">
        <v>42</v>
      </c>
      <c r="B285" s="22">
        <v>39054</v>
      </c>
      <c r="C285" s="22">
        <v>40022</v>
      </c>
      <c r="D285" s="22">
        <v>1180289</v>
      </c>
      <c r="E285" s="22">
        <v>691698</v>
      </c>
      <c r="F285" s="22">
        <v>50345</v>
      </c>
      <c r="G285" s="22">
        <v>45835</v>
      </c>
      <c r="H285" s="22">
        <v>35980</v>
      </c>
      <c r="I285" s="22">
        <v>13030</v>
      </c>
      <c r="J285" s="26">
        <v>0</v>
      </c>
      <c r="L285" s="32"/>
      <c r="M285" s="32"/>
      <c r="N285" s="32"/>
      <c r="O285" s="32"/>
      <c r="P285" s="32"/>
      <c r="Q285" s="32"/>
      <c r="R285" s="32"/>
      <c r="S285" s="32"/>
      <c r="T285" s="6"/>
    </row>
    <row r="286" spans="1:20" ht="15" customHeight="1" x14ac:dyDescent="0.2">
      <c r="A286" s="15" t="s">
        <v>6</v>
      </c>
      <c r="B286" s="22">
        <v>34832</v>
      </c>
      <c r="C286" s="22">
        <v>18850</v>
      </c>
      <c r="D286" s="22">
        <v>92246</v>
      </c>
      <c r="E286" s="22">
        <v>7983</v>
      </c>
      <c r="F286" s="22">
        <v>9581</v>
      </c>
      <c r="G286" s="22">
        <v>3238</v>
      </c>
      <c r="H286" s="22">
        <v>35980</v>
      </c>
      <c r="I286" s="22">
        <v>3906</v>
      </c>
      <c r="J286" s="26">
        <v>0</v>
      </c>
      <c r="L286" s="32"/>
      <c r="M286" s="32"/>
      <c r="N286" s="32"/>
      <c r="O286" s="32"/>
      <c r="P286" s="32"/>
      <c r="Q286" s="32"/>
      <c r="R286" s="32"/>
      <c r="S286" s="32"/>
      <c r="T286" s="6"/>
    </row>
    <row r="287" spans="1:20" ht="15" customHeight="1" x14ac:dyDescent="0.2">
      <c r="A287" s="15" t="s">
        <v>7</v>
      </c>
      <c r="B287" s="22">
        <v>525</v>
      </c>
      <c r="C287" s="22">
        <v>6751</v>
      </c>
      <c r="D287" s="22">
        <v>257274</v>
      </c>
      <c r="E287" s="22">
        <v>143495</v>
      </c>
      <c r="F287" s="22">
        <v>10323</v>
      </c>
      <c r="G287" s="22">
        <v>15204</v>
      </c>
      <c r="H287" s="22">
        <v>0</v>
      </c>
      <c r="I287" s="22">
        <v>7915</v>
      </c>
      <c r="J287" s="26">
        <v>0</v>
      </c>
      <c r="L287" s="32"/>
      <c r="M287" s="32"/>
      <c r="N287" s="32"/>
      <c r="O287" s="32"/>
      <c r="P287" s="32"/>
      <c r="Q287" s="32"/>
      <c r="R287" s="32"/>
      <c r="S287" s="32"/>
      <c r="T287" s="6"/>
    </row>
    <row r="288" spans="1:20" ht="15" customHeight="1" x14ac:dyDescent="0.2">
      <c r="A288" s="15" t="s">
        <v>88</v>
      </c>
      <c r="B288" s="22" t="s">
        <v>101</v>
      </c>
      <c r="C288" s="22" t="s">
        <v>101</v>
      </c>
      <c r="D288" s="22" t="s">
        <v>101</v>
      </c>
      <c r="E288" s="22">
        <v>0</v>
      </c>
      <c r="F288" s="22" t="s">
        <v>101</v>
      </c>
      <c r="G288" s="22">
        <v>0</v>
      </c>
      <c r="H288" s="22">
        <v>0</v>
      </c>
      <c r="I288" s="22">
        <v>0</v>
      </c>
      <c r="J288" s="26">
        <v>0</v>
      </c>
      <c r="L288" s="32"/>
      <c r="M288" s="32"/>
      <c r="N288" s="32"/>
      <c r="O288" s="32"/>
      <c r="P288" s="32"/>
      <c r="Q288" s="32"/>
      <c r="R288" s="32"/>
      <c r="S288" s="32"/>
      <c r="T288" s="6"/>
    </row>
    <row r="289" spans="1:20" ht="15" customHeight="1" x14ac:dyDescent="0.2">
      <c r="A289" s="15" t="s">
        <v>64</v>
      </c>
      <c r="B289" s="22">
        <v>54784</v>
      </c>
      <c r="C289" s="22">
        <v>37879</v>
      </c>
      <c r="D289" s="22">
        <v>995287</v>
      </c>
      <c r="E289" s="22">
        <v>718221</v>
      </c>
      <c r="F289" s="22">
        <v>30840</v>
      </c>
      <c r="G289" s="22">
        <v>106079</v>
      </c>
      <c r="H289" s="22">
        <v>81786</v>
      </c>
      <c r="I289" s="22">
        <v>16937</v>
      </c>
      <c r="J289" s="26">
        <v>0</v>
      </c>
      <c r="L289" s="32"/>
      <c r="M289" s="32"/>
      <c r="N289" s="32"/>
      <c r="O289" s="32"/>
      <c r="P289" s="32"/>
      <c r="Q289" s="32"/>
      <c r="R289" s="32"/>
      <c r="S289" s="32"/>
      <c r="T289" s="6"/>
    </row>
    <row r="290" spans="1:20" ht="15" customHeight="1" x14ac:dyDescent="0.2">
      <c r="A290" s="15" t="s">
        <v>6</v>
      </c>
      <c r="B290" s="22">
        <v>49763</v>
      </c>
      <c r="C290" s="22">
        <v>25974</v>
      </c>
      <c r="D290" s="22">
        <v>126475</v>
      </c>
      <c r="E290" s="22">
        <v>4978</v>
      </c>
      <c r="F290" s="22">
        <v>8599</v>
      </c>
      <c r="G290" s="22">
        <v>11425</v>
      </c>
      <c r="H290" s="22">
        <v>81786</v>
      </c>
      <c r="I290" s="22">
        <v>5639</v>
      </c>
      <c r="J290" s="26">
        <v>0</v>
      </c>
      <c r="L290" s="32"/>
      <c r="M290" s="32"/>
      <c r="N290" s="32"/>
      <c r="O290" s="32"/>
      <c r="P290" s="32"/>
      <c r="Q290" s="32"/>
      <c r="R290" s="32"/>
      <c r="S290" s="32"/>
      <c r="T290" s="6"/>
    </row>
    <row r="291" spans="1:20" ht="15" customHeight="1" x14ac:dyDescent="0.2">
      <c r="A291" s="15" t="s">
        <v>7</v>
      </c>
      <c r="B291" s="22">
        <v>1075</v>
      </c>
      <c r="C291" s="22">
        <v>9557</v>
      </c>
      <c r="D291" s="22">
        <v>130976</v>
      </c>
      <c r="E291" s="22">
        <v>13890</v>
      </c>
      <c r="F291" s="22">
        <v>20473</v>
      </c>
      <c r="G291" s="22">
        <v>67663</v>
      </c>
      <c r="H291" s="22">
        <v>0</v>
      </c>
      <c r="I291" s="22">
        <v>9168</v>
      </c>
      <c r="J291" s="26">
        <v>0</v>
      </c>
      <c r="L291" s="32"/>
      <c r="M291" s="32"/>
      <c r="N291" s="32"/>
      <c r="O291" s="32"/>
      <c r="P291" s="32"/>
      <c r="Q291" s="32"/>
      <c r="R291" s="32"/>
      <c r="S291" s="32"/>
      <c r="T291" s="6"/>
    </row>
    <row r="292" spans="1:20" ht="15" customHeight="1" x14ac:dyDescent="0.2">
      <c r="A292" s="15" t="s">
        <v>88</v>
      </c>
      <c r="B292" s="22">
        <v>7</v>
      </c>
      <c r="C292" s="22">
        <v>16</v>
      </c>
      <c r="D292" s="22">
        <v>543</v>
      </c>
      <c r="E292" s="22">
        <v>436</v>
      </c>
      <c r="F292" s="22">
        <v>101</v>
      </c>
      <c r="G292" s="22" t="s">
        <v>101</v>
      </c>
      <c r="H292" s="22">
        <v>0</v>
      </c>
      <c r="I292" s="22">
        <v>0</v>
      </c>
      <c r="J292" s="26">
        <v>0</v>
      </c>
      <c r="L292" s="32"/>
      <c r="M292" s="32"/>
      <c r="N292" s="32"/>
      <c r="O292" s="32"/>
      <c r="P292" s="32"/>
      <c r="Q292" s="32"/>
      <c r="R292" s="32"/>
      <c r="S292" s="32"/>
      <c r="T292" s="6"/>
    </row>
    <row r="293" spans="1:20" ht="15" customHeight="1" x14ac:dyDescent="0.2">
      <c r="A293" s="16" t="s">
        <v>43</v>
      </c>
      <c r="B293" s="22">
        <v>17978</v>
      </c>
      <c r="C293" s="22">
        <v>16557</v>
      </c>
      <c r="D293" s="22">
        <v>301663</v>
      </c>
      <c r="E293" s="22">
        <v>102782</v>
      </c>
      <c r="F293" s="22">
        <v>73165</v>
      </c>
      <c r="G293" s="22">
        <v>27089</v>
      </c>
      <c r="H293" s="22">
        <v>18336</v>
      </c>
      <c r="I293" s="22">
        <v>10720</v>
      </c>
      <c r="J293" s="26">
        <v>0</v>
      </c>
      <c r="L293" s="32"/>
      <c r="M293" s="32"/>
      <c r="N293" s="32"/>
      <c r="O293" s="32"/>
      <c r="P293" s="32"/>
      <c r="Q293" s="32"/>
      <c r="R293" s="32"/>
      <c r="S293" s="32"/>
      <c r="T293" s="6"/>
    </row>
    <row r="294" spans="1:20" ht="15" customHeight="1" x14ac:dyDescent="0.2">
      <c r="A294" s="15" t="s">
        <v>6</v>
      </c>
      <c r="B294" s="22">
        <v>15393</v>
      </c>
      <c r="C294" s="22">
        <v>8411</v>
      </c>
      <c r="D294" s="22">
        <v>59013</v>
      </c>
      <c r="E294" s="22">
        <v>10571</v>
      </c>
      <c r="F294" s="22">
        <v>9962</v>
      </c>
      <c r="G294" s="22">
        <v>4194</v>
      </c>
      <c r="H294" s="22">
        <v>18336</v>
      </c>
      <c r="I294" s="22">
        <v>4880</v>
      </c>
      <c r="J294" s="26">
        <v>0</v>
      </c>
      <c r="L294" s="32"/>
      <c r="M294" s="32"/>
      <c r="N294" s="32"/>
      <c r="O294" s="32"/>
      <c r="P294" s="32"/>
      <c r="Q294" s="32"/>
      <c r="R294" s="32"/>
      <c r="S294" s="32"/>
      <c r="T294" s="6"/>
    </row>
    <row r="295" spans="1:20" ht="15" customHeight="1" x14ac:dyDescent="0.2">
      <c r="A295" s="15" t="s">
        <v>7</v>
      </c>
      <c r="B295" s="22">
        <v>629</v>
      </c>
      <c r="C295" s="22">
        <v>3728</v>
      </c>
      <c r="D295" s="22">
        <v>133034</v>
      </c>
      <c r="E295" s="22">
        <v>66803</v>
      </c>
      <c r="F295" s="22">
        <v>19843</v>
      </c>
      <c r="G295" s="22">
        <v>14841</v>
      </c>
      <c r="H295" s="22">
        <v>0</v>
      </c>
      <c r="I295" s="22">
        <v>4799</v>
      </c>
      <c r="J295" s="26">
        <v>0</v>
      </c>
      <c r="L295" s="32"/>
      <c r="M295" s="32"/>
      <c r="N295" s="32"/>
      <c r="O295" s="32"/>
      <c r="P295" s="32"/>
      <c r="Q295" s="32"/>
      <c r="R295" s="32"/>
      <c r="S295" s="32"/>
      <c r="T295" s="6"/>
    </row>
    <row r="296" spans="1:20" ht="15" customHeight="1" x14ac:dyDescent="0.2">
      <c r="A296" s="15" t="s">
        <v>88</v>
      </c>
      <c r="B296" s="22">
        <v>54</v>
      </c>
      <c r="C296" s="22">
        <v>2329</v>
      </c>
      <c r="D296" s="22">
        <v>19900</v>
      </c>
      <c r="E296" s="22">
        <v>4673</v>
      </c>
      <c r="F296" s="22">
        <v>15137</v>
      </c>
      <c r="G296" s="22">
        <v>16</v>
      </c>
      <c r="H296" s="22">
        <v>0</v>
      </c>
      <c r="I296" s="22">
        <v>0</v>
      </c>
      <c r="J296" s="26">
        <v>0</v>
      </c>
      <c r="L296" s="32"/>
      <c r="M296" s="32"/>
      <c r="N296" s="32"/>
      <c r="O296" s="32"/>
      <c r="P296" s="32"/>
      <c r="Q296" s="32"/>
      <c r="R296" s="32"/>
      <c r="S296" s="32"/>
      <c r="T296" s="6"/>
    </row>
    <row r="297" spans="1:20" ht="15" customHeight="1" x14ac:dyDescent="0.2">
      <c r="A297" s="16" t="s">
        <v>44</v>
      </c>
      <c r="B297" s="22">
        <v>12595</v>
      </c>
      <c r="C297" s="22">
        <v>20111</v>
      </c>
      <c r="D297" s="22">
        <v>1168508</v>
      </c>
      <c r="E297" s="22">
        <v>919985</v>
      </c>
      <c r="F297" s="22">
        <v>108897</v>
      </c>
      <c r="G297" s="22">
        <v>22792</v>
      </c>
      <c r="H297" s="22">
        <v>356</v>
      </c>
      <c r="I297" s="22">
        <v>785</v>
      </c>
      <c r="J297" s="26">
        <v>0</v>
      </c>
      <c r="L297" s="32"/>
      <c r="M297" s="32"/>
      <c r="N297" s="32"/>
      <c r="O297" s="32"/>
      <c r="P297" s="32"/>
      <c r="Q297" s="32"/>
      <c r="R297" s="32"/>
      <c r="S297" s="32"/>
      <c r="T297" s="6"/>
    </row>
    <row r="298" spans="1:20" ht="15" customHeight="1" x14ac:dyDescent="0.2">
      <c r="A298" s="15" t="s">
        <v>6</v>
      </c>
      <c r="B298" s="22">
        <v>2657</v>
      </c>
      <c r="C298" s="22">
        <v>2876</v>
      </c>
      <c r="D298" s="22">
        <v>18593</v>
      </c>
      <c r="E298" s="22">
        <v>90</v>
      </c>
      <c r="F298" s="22">
        <v>195</v>
      </c>
      <c r="G298" s="22">
        <v>2050</v>
      </c>
      <c r="H298" s="22">
        <v>356</v>
      </c>
      <c r="I298" s="22">
        <v>46</v>
      </c>
      <c r="J298" s="26">
        <v>0</v>
      </c>
      <c r="L298" s="32"/>
      <c r="M298" s="32"/>
      <c r="N298" s="32"/>
      <c r="O298" s="32"/>
      <c r="P298" s="32"/>
      <c r="Q298" s="32"/>
      <c r="R298" s="32"/>
      <c r="S298" s="32"/>
      <c r="T298" s="6"/>
    </row>
    <row r="299" spans="1:20" ht="15" customHeight="1" x14ac:dyDescent="0.2">
      <c r="A299" s="15" t="s">
        <v>7</v>
      </c>
      <c r="B299" s="22">
        <v>7520</v>
      </c>
      <c r="C299" s="22">
        <v>12818</v>
      </c>
      <c r="D299" s="22">
        <v>812674</v>
      </c>
      <c r="E299" s="22">
        <v>643982</v>
      </c>
      <c r="F299" s="22">
        <v>71376</v>
      </c>
      <c r="G299" s="22">
        <v>11592</v>
      </c>
      <c r="H299" s="22">
        <v>0</v>
      </c>
      <c r="I299" s="22">
        <v>521</v>
      </c>
      <c r="J299" s="26">
        <v>0</v>
      </c>
      <c r="L299" s="32"/>
      <c r="M299" s="32"/>
      <c r="N299" s="32"/>
      <c r="O299" s="32"/>
      <c r="P299" s="32"/>
      <c r="Q299" s="32"/>
      <c r="R299" s="32"/>
      <c r="S299" s="32"/>
      <c r="T299" s="6"/>
    </row>
    <row r="300" spans="1:20" ht="15" customHeight="1" x14ac:dyDescent="0.2">
      <c r="A300" s="15" t="s">
        <v>88</v>
      </c>
      <c r="B300" s="22">
        <v>0</v>
      </c>
      <c r="C300" s="22">
        <v>0</v>
      </c>
      <c r="D300" s="22">
        <v>0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6">
        <v>0</v>
      </c>
      <c r="L300" s="32"/>
      <c r="M300" s="32"/>
      <c r="N300" s="32"/>
      <c r="O300" s="32"/>
      <c r="P300" s="32"/>
      <c r="Q300" s="32"/>
      <c r="R300" s="32"/>
      <c r="S300" s="32"/>
      <c r="T300" s="6"/>
    </row>
    <row r="301" spans="1:20" ht="15" customHeight="1" x14ac:dyDescent="0.2">
      <c r="A301" s="16" t="s">
        <v>100</v>
      </c>
      <c r="B301" s="22">
        <v>3008</v>
      </c>
      <c r="C301" s="22">
        <v>8745</v>
      </c>
      <c r="D301" s="22">
        <v>633186</v>
      </c>
      <c r="E301" s="22">
        <v>170993</v>
      </c>
      <c r="F301" s="22">
        <v>419025</v>
      </c>
      <c r="G301" s="22">
        <v>3200</v>
      </c>
      <c r="H301" s="22">
        <v>16</v>
      </c>
      <c r="I301" s="22">
        <v>74</v>
      </c>
      <c r="J301" s="26">
        <v>0</v>
      </c>
      <c r="L301" s="32"/>
      <c r="M301" s="32"/>
      <c r="N301" s="32"/>
      <c r="O301" s="32"/>
      <c r="P301" s="32"/>
      <c r="Q301" s="32"/>
      <c r="R301" s="32"/>
      <c r="S301" s="32"/>
      <c r="T301" s="6"/>
    </row>
    <row r="302" spans="1:20" ht="15" customHeight="1" x14ac:dyDescent="0.2">
      <c r="A302" s="15" t="s">
        <v>6</v>
      </c>
      <c r="B302" s="22">
        <v>2636</v>
      </c>
      <c r="C302" s="22">
        <v>754</v>
      </c>
      <c r="D302" s="22">
        <v>5381</v>
      </c>
      <c r="E302" s="22">
        <v>1941</v>
      </c>
      <c r="F302" s="22">
        <v>1822</v>
      </c>
      <c r="G302" s="22">
        <v>605</v>
      </c>
      <c r="H302" s="22">
        <v>16</v>
      </c>
      <c r="I302" s="22">
        <v>19</v>
      </c>
      <c r="J302" s="26">
        <v>0</v>
      </c>
      <c r="L302" s="32"/>
      <c r="M302" s="32"/>
      <c r="N302" s="32"/>
      <c r="O302" s="32"/>
      <c r="P302" s="32"/>
      <c r="Q302" s="32"/>
      <c r="R302" s="32"/>
      <c r="S302" s="32"/>
      <c r="T302" s="6"/>
    </row>
    <row r="303" spans="1:20" ht="15" customHeight="1" x14ac:dyDescent="0.2">
      <c r="A303" s="15" t="s">
        <v>7</v>
      </c>
      <c r="B303" s="22">
        <v>160</v>
      </c>
      <c r="C303" s="22">
        <v>7838</v>
      </c>
      <c r="D303" s="22">
        <v>71024</v>
      </c>
      <c r="E303" s="22">
        <v>19651</v>
      </c>
      <c r="F303" s="22">
        <v>25732</v>
      </c>
      <c r="G303" s="22">
        <v>182</v>
      </c>
      <c r="H303" s="22">
        <v>0</v>
      </c>
      <c r="I303" s="22">
        <v>10</v>
      </c>
      <c r="J303" s="26">
        <v>0</v>
      </c>
      <c r="L303" s="32"/>
      <c r="M303" s="32"/>
      <c r="N303" s="32"/>
      <c r="O303" s="32"/>
      <c r="P303" s="32"/>
      <c r="Q303" s="32"/>
      <c r="R303" s="32"/>
      <c r="S303" s="32"/>
      <c r="T303" s="6"/>
    </row>
    <row r="304" spans="1:20" ht="15" customHeight="1" x14ac:dyDescent="0.2">
      <c r="A304" s="15" t="s">
        <v>88</v>
      </c>
      <c r="B304" s="22">
        <v>0</v>
      </c>
      <c r="C304" s="22">
        <v>0</v>
      </c>
      <c r="D304" s="22">
        <v>0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6">
        <v>0</v>
      </c>
      <c r="L304" s="32"/>
      <c r="M304" s="32"/>
      <c r="N304" s="32"/>
      <c r="O304" s="32"/>
      <c r="P304" s="32"/>
      <c r="Q304" s="32"/>
      <c r="R304" s="32"/>
      <c r="S304" s="32"/>
      <c r="T304" s="6"/>
    </row>
    <row r="305" spans="1:20" ht="15" customHeight="1" x14ac:dyDescent="0.2">
      <c r="A305" s="15" t="s">
        <v>108</v>
      </c>
      <c r="B305" s="22">
        <v>14342</v>
      </c>
      <c r="C305" s="22">
        <v>4079</v>
      </c>
      <c r="D305" s="22">
        <v>182607</v>
      </c>
      <c r="E305" s="22">
        <v>142434</v>
      </c>
      <c r="F305" s="22">
        <v>4306</v>
      </c>
      <c r="G305" s="22">
        <v>17670</v>
      </c>
      <c r="H305" s="22">
        <v>689</v>
      </c>
      <c r="I305" s="22">
        <v>4947</v>
      </c>
      <c r="J305" s="26">
        <v>0</v>
      </c>
      <c r="L305" s="32"/>
      <c r="M305" s="32"/>
      <c r="N305" s="32"/>
      <c r="O305" s="32"/>
      <c r="P305" s="32"/>
      <c r="Q305" s="32"/>
      <c r="R305" s="32"/>
      <c r="S305" s="32"/>
      <c r="T305" s="6"/>
    </row>
    <row r="306" spans="1:20" ht="15" customHeight="1" x14ac:dyDescent="0.2">
      <c r="A306" s="15" t="s">
        <v>6</v>
      </c>
      <c r="B306" s="22">
        <v>12171</v>
      </c>
      <c r="C306" s="22">
        <v>1825</v>
      </c>
      <c r="D306" s="22">
        <v>18481</v>
      </c>
      <c r="E306" s="22">
        <v>5274</v>
      </c>
      <c r="F306" s="22">
        <v>2209</v>
      </c>
      <c r="G306" s="22">
        <v>2935</v>
      </c>
      <c r="H306" s="22">
        <v>689</v>
      </c>
      <c r="I306" s="22">
        <v>1895</v>
      </c>
      <c r="J306" s="26">
        <v>0</v>
      </c>
      <c r="L306" s="32"/>
      <c r="M306" s="32"/>
      <c r="N306" s="32"/>
      <c r="O306" s="32"/>
      <c r="P306" s="32"/>
      <c r="Q306" s="32"/>
      <c r="R306" s="32"/>
      <c r="S306" s="32"/>
      <c r="T306" s="6"/>
    </row>
    <row r="307" spans="1:20" ht="15" customHeight="1" x14ac:dyDescent="0.2">
      <c r="A307" s="15" t="s">
        <v>7</v>
      </c>
      <c r="B307" s="22">
        <v>500</v>
      </c>
      <c r="C307" s="22">
        <v>1362</v>
      </c>
      <c r="D307" s="22">
        <v>22239</v>
      </c>
      <c r="E307" s="22">
        <v>8113</v>
      </c>
      <c r="F307" s="22">
        <v>1718</v>
      </c>
      <c r="G307" s="22">
        <v>7364</v>
      </c>
      <c r="H307" s="22">
        <v>0</v>
      </c>
      <c r="I307" s="22">
        <v>2385</v>
      </c>
      <c r="J307" s="26">
        <v>0</v>
      </c>
      <c r="L307" s="32"/>
      <c r="M307" s="32"/>
      <c r="N307" s="32"/>
      <c r="O307" s="32"/>
      <c r="P307" s="32"/>
      <c r="Q307" s="32"/>
      <c r="R307" s="32"/>
      <c r="S307" s="32"/>
      <c r="T307" s="6"/>
    </row>
    <row r="308" spans="1:20" ht="15" customHeight="1" x14ac:dyDescent="0.2">
      <c r="A308" s="15" t="s">
        <v>88</v>
      </c>
      <c r="B308" s="22">
        <v>4</v>
      </c>
      <c r="C308" s="22">
        <v>3</v>
      </c>
      <c r="D308" s="22">
        <v>162</v>
      </c>
      <c r="E308" s="22" t="s">
        <v>101</v>
      </c>
      <c r="F308" s="22" t="s">
        <v>101</v>
      </c>
      <c r="G308" s="22" t="s">
        <v>101</v>
      </c>
      <c r="H308" s="22">
        <v>0</v>
      </c>
      <c r="I308" s="22">
        <v>0</v>
      </c>
      <c r="J308" s="26">
        <v>0</v>
      </c>
      <c r="L308" s="32"/>
      <c r="M308" s="32"/>
      <c r="N308" s="32"/>
      <c r="O308" s="32"/>
      <c r="P308" s="32"/>
      <c r="Q308" s="32"/>
      <c r="R308" s="32"/>
      <c r="S308" s="32"/>
      <c r="T308" s="6"/>
    </row>
    <row r="309" spans="1:20" ht="15" customHeight="1" x14ac:dyDescent="0.2">
      <c r="A309" s="15" t="s">
        <v>65</v>
      </c>
      <c r="B309" s="22">
        <v>208516</v>
      </c>
      <c r="C309" s="22">
        <v>11339</v>
      </c>
      <c r="D309" s="22">
        <v>589941</v>
      </c>
      <c r="E309" s="22">
        <v>301829</v>
      </c>
      <c r="F309" s="22">
        <v>45754</v>
      </c>
      <c r="G309" s="22">
        <v>88247</v>
      </c>
      <c r="H309" s="22">
        <v>60</v>
      </c>
      <c r="I309" s="22">
        <v>26754</v>
      </c>
      <c r="J309" s="26">
        <v>0</v>
      </c>
      <c r="L309" s="32"/>
      <c r="M309" s="32"/>
      <c r="N309" s="32"/>
      <c r="O309" s="32"/>
      <c r="P309" s="32"/>
      <c r="Q309" s="32"/>
      <c r="R309" s="32"/>
      <c r="S309" s="32"/>
      <c r="T309" s="6"/>
    </row>
    <row r="310" spans="1:20" ht="15" customHeight="1" x14ac:dyDescent="0.2">
      <c r="A310" s="15" t="s">
        <v>6</v>
      </c>
      <c r="B310" s="22">
        <v>203794</v>
      </c>
      <c r="C310" s="22">
        <v>7234</v>
      </c>
      <c r="D310" s="22">
        <v>163242</v>
      </c>
      <c r="E310" s="22">
        <v>53505</v>
      </c>
      <c r="F310" s="22">
        <v>33290</v>
      </c>
      <c r="G310" s="22">
        <v>30570</v>
      </c>
      <c r="H310" s="22">
        <v>60</v>
      </c>
      <c r="I310" s="22">
        <v>11312</v>
      </c>
      <c r="J310" s="26">
        <v>0</v>
      </c>
      <c r="L310" s="32"/>
      <c r="M310" s="32"/>
      <c r="N310" s="32"/>
      <c r="O310" s="32"/>
      <c r="P310" s="32"/>
      <c r="Q310" s="32"/>
      <c r="R310" s="32"/>
      <c r="S310" s="32"/>
      <c r="T310" s="6"/>
    </row>
    <row r="311" spans="1:20" ht="15" customHeight="1" x14ac:dyDescent="0.2">
      <c r="A311" s="15" t="s">
        <v>7</v>
      </c>
      <c r="B311" s="22">
        <v>1038</v>
      </c>
      <c r="C311" s="22">
        <v>1415</v>
      </c>
      <c r="D311" s="22">
        <v>199916</v>
      </c>
      <c r="E311" s="22">
        <v>52567</v>
      </c>
      <c r="F311" s="22">
        <v>8002</v>
      </c>
      <c r="G311" s="22">
        <v>54115</v>
      </c>
      <c r="H311" s="22">
        <v>0</v>
      </c>
      <c r="I311" s="22">
        <v>12556</v>
      </c>
      <c r="J311" s="26">
        <v>0</v>
      </c>
      <c r="L311" s="32"/>
      <c r="M311" s="32"/>
      <c r="N311" s="32"/>
      <c r="O311" s="32"/>
      <c r="P311" s="32"/>
      <c r="Q311" s="32"/>
      <c r="R311" s="32"/>
      <c r="S311" s="32"/>
      <c r="T311" s="6"/>
    </row>
    <row r="312" spans="1:20" ht="15" customHeight="1" x14ac:dyDescent="0.2">
      <c r="A312" s="15" t="s">
        <v>88</v>
      </c>
      <c r="B312" s="22">
        <v>28</v>
      </c>
      <c r="C312" s="22">
        <v>206</v>
      </c>
      <c r="D312" s="22">
        <v>5875</v>
      </c>
      <c r="E312" s="22">
        <v>4492</v>
      </c>
      <c r="F312" s="22">
        <v>1369</v>
      </c>
      <c r="G312" s="22">
        <v>13</v>
      </c>
      <c r="H312" s="22">
        <v>0</v>
      </c>
      <c r="I312" s="22">
        <v>0</v>
      </c>
      <c r="J312" s="26">
        <v>0</v>
      </c>
      <c r="L312" s="32"/>
      <c r="M312" s="32"/>
      <c r="N312" s="32"/>
      <c r="O312" s="32"/>
      <c r="P312" s="32"/>
      <c r="Q312" s="32"/>
      <c r="R312" s="32"/>
      <c r="S312" s="32"/>
      <c r="T312" s="6"/>
    </row>
    <row r="313" spans="1:20" ht="15" customHeight="1" x14ac:dyDescent="0.2">
      <c r="A313" s="16" t="s">
        <v>45</v>
      </c>
      <c r="B313" s="22">
        <v>16683</v>
      </c>
      <c r="C313" s="22">
        <v>34280</v>
      </c>
      <c r="D313" s="22">
        <v>4026784</v>
      </c>
      <c r="E313" s="22">
        <v>1180890</v>
      </c>
      <c r="F313" s="22">
        <v>1361106</v>
      </c>
      <c r="G313" s="22">
        <v>12425</v>
      </c>
      <c r="H313" s="22">
        <v>20</v>
      </c>
      <c r="I313" s="22">
        <v>427</v>
      </c>
      <c r="J313" s="26">
        <v>0</v>
      </c>
      <c r="L313" s="32"/>
      <c r="M313" s="32"/>
      <c r="N313" s="32"/>
      <c r="O313" s="32"/>
      <c r="P313" s="32"/>
      <c r="Q313" s="32"/>
      <c r="R313" s="32"/>
      <c r="S313" s="32"/>
      <c r="T313" s="6"/>
    </row>
    <row r="314" spans="1:20" ht="15" customHeight="1" x14ac:dyDescent="0.2">
      <c r="A314" s="15" t="s">
        <v>6</v>
      </c>
      <c r="B314" s="22">
        <v>14443</v>
      </c>
      <c r="C314" s="22">
        <v>5073</v>
      </c>
      <c r="D314" s="22">
        <v>48510</v>
      </c>
      <c r="E314" s="22">
        <v>25896</v>
      </c>
      <c r="F314" s="22">
        <v>10562</v>
      </c>
      <c r="G314" s="22">
        <v>3516</v>
      </c>
      <c r="H314" s="22">
        <v>20</v>
      </c>
      <c r="I314" s="22">
        <v>332</v>
      </c>
      <c r="J314" s="26">
        <v>0</v>
      </c>
      <c r="L314" s="32"/>
      <c r="M314" s="32"/>
      <c r="N314" s="32"/>
      <c r="O314" s="32"/>
      <c r="P314" s="32"/>
      <c r="Q314" s="32"/>
      <c r="R314" s="32"/>
      <c r="S314" s="32"/>
      <c r="T314" s="6"/>
    </row>
    <row r="315" spans="1:20" ht="15" customHeight="1" x14ac:dyDescent="0.2">
      <c r="A315" s="15" t="s">
        <v>7</v>
      </c>
      <c r="B315" s="22">
        <v>595</v>
      </c>
      <c r="C315" s="22">
        <v>28118</v>
      </c>
      <c r="D315" s="22">
        <v>812456</v>
      </c>
      <c r="E315" s="22">
        <v>163694</v>
      </c>
      <c r="F315" s="22">
        <v>29119</v>
      </c>
      <c r="G315" s="22">
        <v>157</v>
      </c>
      <c r="H315" s="22">
        <v>0</v>
      </c>
      <c r="I315" s="22">
        <v>0</v>
      </c>
      <c r="J315" s="26">
        <v>0</v>
      </c>
      <c r="L315" s="32"/>
      <c r="M315" s="32"/>
      <c r="N315" s="32"/>
      <c r="O315" s="32"/>
      <c r="P315" s="32"/>
      <c r="Q315" s="32"/>
      <c r="R315" s="32"/>
      <c r="S315" s="32"/>
      <c r="T315" s="6"/>
    </row>
    <row r="316" spans="1:20" ht="15" customHeight="1" x14ac:dyDescent="0.2">
      <c r="A316" s="15" t="s">
        <v>88</v>
      </c>
      <c r="B316" s="22">
        <v>5</v>
      </c>
      <c r="C316" s="22">
        <v>1</v>
      </c>
      <c r="D316" s="22">
        <v>4</v>
      </c>
      <c r="E316" s="22" t="s">
        <v>101</v>
      </c>
      <c r="F316" s="22" t="s">
        <v>101</v>
      </c>
      <c r="G316" s="22">
        <v>0</v>
      </c>
      <c r="H316" s="22">
        <v>0</v>
      </c>
      <c r="I316" s="22">
        <v>0</v>
      </c>
      <c r="J316" s="26">
        <v>0</v>
      </c>
      <c r="L316" s="32"/>
      <c r="M316" s="32"/>
      <c r="N316" s="32"/>
      <c r="O316" s="32"/>
      <c r="P316" s="32"/>
      <c r="Q316" s="32"/>
      <c r="R316" s="32"/>
      <c r="S316" s="32"/>
      <c r="T316" s="6"/>
    </row>
    <row r="317" spans="1:20" ht="15" customHeight="1" x14ac:dyDescent="0.2">
      <c r="A317" s="15" t="s">
        <v>82</v>
      </c>
      <c r="B317" s="22">
        <v>1211</v>
      </c>
      <c r="C317" s="22">
        <v>371</v>
      </c>
      <c r="D317" s="22">
        <v>166948</v>
      </c>
      <c r="E317" s="22">
        <v>38137</v>
      </c>
      <c r="F317" s="22">
        <v>14423</v>
      </c>
      <c r="G317" s="22">
        <v>913</v>
      </c>
      <c r="H317" s="22">
        <v>189</v>
      </c>
      <c r="I317" s="22">
        <v>81</v>
      </c>
      <c r="J317" s="26">
        <v>0</v>
      </c>
      <c r="L317" s="32"/>
      <c r="M317" s="32"/>
      <c r="N317" s="32"/>
      <c r="O317" s="32"/>
      <c r="P317" s="32"/>
      <c r="Q317" s="32"/>
      <c r="R317" s="32"/>
      <c r="S317" s="32"/>
      <c r="T317" s="6"/>
    </row>
    <row r="318" spans="1:20" ht="15" customHeight="1" x14ac:dyDescent="0.2">
      <c r="A318" s="15" t="s">
        <v>6</v>
      </c>
      <c r="B318" s="22">
        <v>1035</v>
      </c>
      <c r="C318" s="22">
        <v>317</v>
      </c>
      <c r="D318" s="22">
        <v>2685</v>
      </c>
      <c r="E318" s="22">
        <v>242</v>
      </c>
      <c r="F318" s="22">
        <v>23</v>
      </c>
      <c r="G318" s="22">
        <v>834</v>
      </c>
      <c r="H318" s="22">
        <v>189</v>
      </c>
      <c r="I318" s="22">
        <v>78</v>
      </c>
      <c r="J318" s="26">
        <v>0</v>
      </c>
      <c r="L318" s="32"/>
      <c r="M318" s="32"/>
      <c r="N318" s="32"/>
      <c r="O318" s="32"/>
      <c r="P318" s="32"/>
      <c r="Q318" s="32"/>
      <c r="R318" s="32"/>
      <c r="S318" s="32"/>
      <c r="T318" s="6"/>
    </row>
    <row r="319" spans="1:20" ht="15" customHeight="1" x14ac:dyDescent="0.2">
      <c r="A319" s="15" t="s">
        <v>7</v>
      </c>
      <c r="B319" s="22">
        <v>42</v>
      </c>
      <c r="C319" s="22">
        <v>10</v>
      </c>
      <c r="D319" s="22">
        <v>114393</v>
      </c>
      <c r="E319" s="22">
        <v>2703</v>
      </c>
      <c r="F319" s="22" t="s">
        <v>101</v>
      </c>
      <c r="G319" s="22">
        <v>16</v>
      </c>
      <c r="H319" s="22">
        <v>0</v>
      </c>
      <c r="I319" s="22">
        <v>0</v>
      </c>
      <c r="J319" s="26">
        <v>0</v>
      </c>
      <c r="L319" s="32"/>
      <c r="M319" s="32"/>
      <c r="N319" s="32"/>
      <c r="O319" s="32"/>
      <c r="P319" s="32"/>
      <c r="Q319" s="32"/>
      <c r="R319" s="32"/>
      <c r="S319" s="32"/>
      <c r="T319" s="6"/>
    </row>
    <row r="320" spans="1:20" ht="15" customHeight="1" x14ac:dyDescent="0.2">
      <c r="A320" s="15" t="s">
        <v>88</v>
      </c>
      <c r="B320" s="22" t="s">
        <v>101</v>
      </c>
      <c r="C320" s="22" t="s">
        <v>101</v>
      </c>
      <c r="D320" s="22" t="s">
        <v>101</v>
      </c>
      <c r="E320" s="22">
        <v>0</v>
      </c>
      <c r="F320" s="22" t="s">
        <v>101</v>
      </c>
      <c r="G320" s="22" t="s">
        <v>101</v>
      </c>
      <c r="H320" s="22">
        <v>0</v>
      </c>
      <c r="I320" s="22">
        <v>0</v>
      </c>
      <c r="J320" s="26">
        <v>0</v>
      </c>
      <c r="L320" s="32"/>
      <c r="M320" s="32"/>
      <c r="N320" s="32"/>
      <c r="O320" s="32"/>
      <c r="P320" s="32"/>
      <c r="Q320" s="32"/>
      <c r="R320" s="32"/>
      <c r="S320" s="32"/>
      <c r="T320" s="6"/>
    </row>
    <row r="321" spans="1:20" ht="15" customHeight="1" x14ac:dyDescent="0.2">
      <c r="A321" s="16" t="s">
        <v>46</v>
      </c>
      <c r="B321" s="22">
        <v>155186</v>
      </c>
      <c r="C321" s="22">
        <v>324669</v>
      </c>
      <c r="D321" s="22">
        <v>13539476</v>
      </c>
      <c r="E321" s="22">
        <v>5977568</v>
      </c>
      <c r="F321" s="22">
        <v>3843169</v>
      </c>
      <c r="G321" s="22">
        <v>263486</v>
      </c>
      <c r="H321" s="22">
        <v>1126</v>
      </c>
      <c r="I321" s="22">
        <v>25150</v>
      </c>
      <c r="J321" s="26">
        <v>0</v>
      </c>
      <c r="L321" s="32"/>
      <c r="M321" s="32"/>
      <c r="N321" s="32"/>
      <c r="O321" s="32"/>
      <c r="P321" s="32"/>
      <c r="Q321" s="32"/>
      <c r="R321" s="32"/>
      <c r="S321" s="32"/>
      <c r="T321" s="6"/>
    </row>
    <row r="322" spans="1:20" ht="15" customHeight="1" x14ac:dyDescent="0.2">
      <c r="A322" s="15" t="s">
        <v>6</v>
      </c>
      <c r="B322" s="22">
        <v>137594</v>
      </c>
      <c r="C322" s="22">
        <v>48443</v>
      </c>
      <c r="D322" s="22">
        <v>255123</v>
      </c>
      <c r="E322" s="22">
        <v>74252</v>
      </c>
      <c r="F322" s="22">
        <v>142483</v>
      </c>
      <c r="G322" s="22">
        <v>5267</v>
      </c>
      <c r="H322" s="22">
        <v>1126</v>
      </c>
      <c r="I322" s="22">
        <v>4365</v>
      </c>
      <c r="J322" s="26">
        <v>0</v>
      </c>
      <c r="L322" s="32"/>
      <c r="M322" s="32"/>
      <c r="N322" s="32"/>
      <c r="O322" s="32"/>
      <c r="P322" s="32"/>
      <c r="Q322" s="32"/>
      <c r="R322" s="32"/>
      <c r="S322" s="32"/>
      <c r="T322" s="6"/>
    </row>
    <row r="323" spans="1:20" ht="15" customHeight="1" x14ac:dyDescent="0.2">
      <c r="A323" s="15" t="s">
        <v>7</v>
      </c>
      <c r="B323" s="22">
        <v>5263</v>
      </c>
      <c r="C323" s="22">
        <v>111927</v>
      </c>
      <c r="D323" s="22">
        <v>2769307</v>
      </c>
      <c r="E323" s="22">
        <v>1211876</v>
      </c>
      <c r="F323" s="22">
        <v>270996</v>
      </c>
      <c r="G323" s="22">
        <v>56968</v>
      </c>
      <c r="H323" s="22">
        <v>0</v>
      </c>
      <c r="I323" s="22">
        <v>7697</v>
      </c>
      <c r="J323" s="26">
        <v>0</v>
      </c>
      <c r="L323" s="32"/>
      <c r="M323" s="32"/>
      <c r="N323" s="32"/>
      <c r="O323" s="32"/>
      <c r="P323" s="32"/>
      <c r="Q323" s="32"/>
      <c r="R323" s="32"/>
      <c r="S323" s="32"/>
      <c r="T323" s="6"/>
    </row>
    <row r="324" spans="1:20" ht="15" customHeight="1" x14ac:dyDescent="0.2">
      <c r="A324" s="15" t="s">
        <v>88</v>
      </c>
      <c r="B324" s="22">
        <v>696</v>
      </c>
      <c r="C324" s="22">
        <v>145535</v>
      </c>
      <c r="D324" s="22">
        <v>1044687</v>
      </c>
      <c r="E324" s="22">
        <v>544578</v>
      </c>
      <c r="F324" s="22">
        <v>480760</v>
      </c>
      <c r="G324" s="22">
        <v>213</v>
      </c>
      <c r="H324" s="22">
        <v>0</v>
      </c>
      <c r="I324" s="22">
        <v>0</v>
      </c>
      <c r="J324" s="26">
        <v>0</v>
      </c>
      <c r="L324" s="32"/>
      <c r="M324" s="32"/>
      <c r="N324" s="32"/>
      <c r="O324" s="32"/>
      <c r="P324" s="32"/>
      <c r="Q324" s="32"/>
      <c r="R324" s="32"/>
      <c r="S324" s="32"/>
      <c r="T324" s="6"/>
    </row>
    <row r="325" spans="1:20" ht="15" customHeight="1" x14ac:dyDescent="0.2">
      <c r="A325" s="15" t="s">
        <v>66</v>
      </c>
      <c r="B325" s="22">
        <v>45641</v>
      </c>
      <c r="C325" s="22">
        <v>39428</v>
      </c>
      <c r="D325" s="22">
        <v>589160</v>
      </c>
      <c r="E325" s="22">
        <v>114792</v>
      </c>
      <c r="F325" s="22">
        <v>295979</v>
      </c>
      <c r="G325" s="22">
        <v>18751</v>
      </c>
      <c r="H325" s="22">
        <v>1728</v>
      </c>
      <c r="I325" s="22">
        <v>4748</v>
      </c>
      <c r="J325" s="26">
        <v>0</v>
      </c>
      <c r="L325" s="32"/>
      <c r="M325" s="32"/>
      <c r="N325" s="32"/>
      <c r="O325" s="32"/>
      <c r="P325" s="32"/>
      <c r="Q325" s="32"/>
      <c r="R325" s="32"/>
      <c r="S325" s="32"/>
      <c r="T325" s="6"/>
    </row>
    <row r="326" spans="1:20" ht="15" customHeight="1" x14ac:dyDescent="0.2">
      <c r="A326" s="15" t="s">
        <v>6</v>
      </c>
      <c r="B326" s="22">
        <v>36220</v>
      </c>
      <c r="C326" s="22">
        <v>8848</v>
      </c>
      <c r="D326" s="22">
        <v>66626</v>
      </c>
      <c r="E326" s="22">
        <v>4281</v>
      </c>
      <c r="F326" s="22">
        <v>31566</v>
      </c>
      <c r="G326" s="22">
        <v>5252</v>
      </c>
      <c r="H326" s="22">
        <v>1728</v>
      </c>
      <c r="I326" s="22">
        <v>2060</v>
      </c>
      <c r="J326" s="26">
        <v>0</v>
      </c>
      <c r="L326" s="32"/>
      <c r="M326" s="32"/>
      <c r="N326" s="32"/>
      <c r="O326" s="32"/>
      <c r="P326" s="32"/>
      <c r="Q326" s="32"/>
      <c r="R326" s="32"/>
      <c r="S326" s="32"/>
      <c r="T326" s="6"/>
    </row>
    <row r="327" spans="1:20" ht="15" customHeight="1" x14ac:dyDescent="0.2">
      <c r="A327" s="15" t="s">
        <v>7</v>
      </c>
      <c r="B327" s="22">
        <v>5459</v>
      </c>
      <c r="C327" s="22">
        <v>18418</v>
      </c>
      <c r="D327" s="22">
        <v>317197</v>
      </c>
      <c r="E327" s="22">
        <v>47091</v>
      </c>
      <c r="F327" s="22">
        <v>186584</v>
      </c>
      <c r="G327" s="22">
        <v>10745</v>
      </c>
      <c r="H327" s="22">
        <v>0</v>
      </c>
      <c r="I327" s="22">
        <v>1895</v>
      </c>
      <c r="J327" s="26">
        <v>0</v>
      </c>
      <c r="L327" s="32"/>
      <c r="M327" s="32"/>
      <c r="N327" s="32"/>
      <c r="O327" s="32"/>
      <c r="P327" s="32"/>
      <c r="Q327" s="32"/>
      <c r="R327" s="32"/>
      <c r="S327" s="32"/>
      <c r="T327" s="6"/>
    </row>
    <row r="328" spans="1:20" ht="15" customHeight="1" x14ac:dyDescent="0.2">
      <c r="A328" s="15" t="s">
        <v>88</v>
      </c>
      <c r="B328" s="22">
        <v>14</v>
      </c>
      <c r="C328" s="22">
        <v>56</v>
      </c>
      <c r="D328" s="22">
        <v>329</v>
      </c>
      <c r="E328" s="22">
        <v>22</v>
      </c>
      <c r="F328" s="22">
        <v>302</v>
      </c>
      <c r="G328" s="22">
        <v>6</v>
      </c>
      <c r="H328" s="22">
        <v>0</v>
      </c>
      <c r="I328" s="22">
        <v>0</v>
      </c>
      <c r="J328" s="26">
        <v>0</v>
      </c>
      <c r="L328" s="32"/>
      <c r="M328" s="32"/>
      <c r="N328" s="32"/>
      <c r="O328" s="32"/>
      <c r="P328" s="32"/>
      <c r="Q328" s="32"/>
      <c r="R328" s="32"/>
      <c r="S328" s="32"/>
      <c r="T328" s="6"/>
    </row>
    <row r="329" spans="1:20" ht="15" customHeight="1" x14ac:dyDescent="0.2">
      <c r="A329" s="16" t="s">
        <v>47</v>
      </c>
      <c r="B329" s="22">
        <v>109520</v>
      </c>
      <c r="C329" s="22">
        <v>213987</v>
      </c>
      <c r="D329" s="22">
        <v>6508637</v>
      </c>
      <c r="E329" s="22">
        <v>2221350</v>
      </c>
      <c r="F329" s="22">
        <v>2626638</v>
      </c>
      <c r="G329" s="22">
        <v>1024029</v>
      </c>
      <c r="H329" s="22">
        <v>32718</v>
      </c>
      <c r="I329" s="22">
        <v>40776</v>
      </c>
      <c r="J329" s="26">
        <v>46538</v>
      </c>
      <c r="L329" s="32"/>
      <c r="M329" s="32"/>
      <c r="N329" s="32"/>
      <c r="O329" s="32"/>
      <c r="P329" s="32"/>
      <c r="Q329" s="32"/>
      <c r="R329" s="32"/>
      <c r="S329" s="32"/>
      <c r="T329" s="6"/>
    </row>
    <row r="330" spans="1:20" ht="15" customHeight="1" x14ac:dyDescent="0.2">
      <c r="A330" s="15" t="s">
        <v>6</v>
      </c>
      <c r="B330" s="22">
        <v>91151</v>
      </c>
      <c r="C330" s="22">
        <v>21990</v>
      </c>
      <c r="D330" s="22">
        <v>190624</v>
      </c>
      <c r="E330" s="22">
        <v>29919</v>
      </c>
      <c r="F330" s="22">
        <v>42320</v>
      </c>
      <c r="G330" s="22">
        <v>29776</v>
      </c>
      <c r="H330" s="22">
        <v>32718</v>
      </c>
      <c r="I330" s="22">
        <v>14031</v>
      </c>
      <c r="J330" s="26">
        <v>0</v>
      </c>
      <c r="L330" s="32"/>
      <c r="M330" s="32"/>
      <c r="N330" s="32"/>
      <c r="O330" s="32"/>
      <c r="P330" s="32"/>
      <c r="Q330" s="32"/>
      <c r="R330" s="32"/>
      <c r="S330" s="32"/>
      <c r="T330" s="6"/>
    </row>
    <row r="331" spans="1:20" ht="15" customHeight="1" x14ac:dyDescent="0.2">
      <c r="A331" s="15" t="s">
        <v>7</v>
      </c>
      <c r="B331" s="22">
        <v>8407</v>
      </c>
      <c r="C331" s="22">
        <v>156079</v>
      </c>
      <c r="D331" s="22">
        <v>4892998</v>
      </c>
      <c r="E331" s="22">
        <v>1112040</v>
      </c>
      <c r="F331" s="22">
        <v>2318261</v>
      </c>
      <c r="G331" s="22">
        <v>978610</v>
      </c>
      <c r="H331" s="22">
        <v>0</v>
      </c>
      <c r="I331" s="22">
        <v>23568</v>
      </c>
      <c r="J331" s="26">
        <v>24731</v>
      </c>
      <c r="L331" s="32"/>
      <c r="M331" s="32"/>
      <c r="N331" s="32"/>
      <c r="O331" s="32"/>
      <c r="P331" s="32"/>
      <c r="Q331" s="32"/>
      <c r="R331" s="32"/>
      <c r="S331" s="32"/>
      <c r="T331" s="6"/>
    </row>
    <row r="332" spans="1:20" ht="15" customHeight="1" x14ac:dyDescent="0.2">
      <c r="A332" s="15" t="s">
        <v>88</v>
      </c>
      <c r="B332" s="22">
        <v>354</v>
      </c>
      <c r="C332" s="22">
        <v>25054</v>
      </c>
      <c r="D332" s="22">
        <v>381200</v>
      </c>
      <c r="E332" s="22">
        <v>220320</v>
      </c>
      <c r="F332" s="22">
        <v>156773</v>
      </c>
      <c r="G332" s="22">
        <v>29</v>
      </c>
      <c r="H332" s="22">
        <v>0</v>
      </c>
      <c r="I332" s="22">
        <v>0</v>
      </c>
      <c r="J332" s="26">
        <v>0</v>
      </c>
      <c r="L332" s="32"/>
      <c r="M332" s="32"/>
      <c r="N332" s="32"/>
      <c r="O332" s="32"/>
      <c r="P332" s="32"/>
      <c r="Q332" s="32"/>
      <c r="R332" s="32"/>
      <c r="S332" s="32"/>
      <c r="T332" s="6"/>
    </row>
    <row r="333" spans="1:20" ht="15" customHeight="1" x14ac:dyDescent="0.2">
      <c r="A333" s="15" t="s">
        <v>120</v>
      </c>
      <c r="B333" s="22">
        <v>9484</v>
      </c>
      <c r="C333" s="22">
        <v>9811</v>
      </c>
      <c r="D333" s="22">
        <v>161110</v>
      </c>
      <c r="E333" s="22">
        <v>119304</v>
      </c>
      <c r="F333" s="22">
        <v>33191</v>
      </c>
      <c r="G333" s="22">
        <v>2591</v>
      </c>
      <c r="H333" s="22">
        <v>159</v>
      </c>
      <c r="I333" s="22">
        <v>19</v>
      </c>
      <c r="J333" s="26">
        <v>0</v>
      </c>
      <c r="L333" s="32"/>
      <c r="M333" s="32"/>
      <c r="N333" s="32"/>
      <c r="O333" s="32"/>
      <c r="P333" s="32"/>
      <c r="Q333" s="32"/>
      <c r="R333" s="32"/>
      <c r="S333" s="32"/>
      <c r="T333" s="6"/>
    </row>
    <row r="334" spans="1:20" ht="15" customHeight="1" x14ac:dyDescent="0.2">
      <c r="A334" s="15" t="s">
        <v>6</v>
      </c>
      <c r="B334" s="22">
        <v>367</v>
      </c>
      <c r="C334" s="22">
        <v>238</v>
      </c>
      <c r="D334" s="22">
        <v>4643</v>
      </c>
      <c r="E334" s="22">
        <v>3349</v>
      </c>
      <c r="F334" s="22">
        <v>452</v>
      </c>
      <c r="G334" s="22">
        <v>115</v>
      </c>
      <c r="H334" s="22">
        <v>159</v>
      </c>
      <c r="I334" s="22">
        <v>19</v>
      </c>
      <c r="J334" s="26">
        <v>0</v>
      </c>
      <c r="L334" s="32"/>
      <c r="M334" s="32"/>
      <c r="N334" s="32"/>
      <c r="O334" s="32"/>
      <c r="P334" s="32"/>
      <c r="Q334" s="32"/>
      <c r="R334" s="32"/>
      <c r="S334" s="32"/>
      <c r="T334" s="6"/>
    </row>
    <row r="335" spans="1:20" ht="15" customHeight="1" x14ac:dyDescent="0.2">
      <c r="A335" s="15" t="s">
        <v>7</v>
      </c>
      <c r="B335" s="22">
        <v>8956</v>
      </c>
      <c r="C335" s="22">
        <v>9122</v>
      </c>
      <c r="D335" s="22">
        <v>125164</v>
      </c>
      <c r="E335" s="22">
        <v>86179</v>
      </c>
      <c r="F335" s="22">
        <v>32044</v>
      </c>
      <c r="G335" s="22">
        <v>1791</v>
      </c>
      <c r="H335" s="22">
        <v>0</v>
      </c>
      <c r="I335" s="22">
        <v>0</v>
      </c>
      <c r="J335" s="26">
        <v>0</v>
      </c>
      <c r="L335" s="32"/>
      <c r="M335" s="32"/>
      <c r="N335" s="32"/>
      <c r="O335" s="32"/>
      <c r="P335" s="32"/>
      <c r="Q335" s="32"/>
      <c r="R335" s="32"/>
      <c r="S335" s="32"/>
      <c r="T335" s="6"/>
    </row>
    <row r="336" spans="1:20" ht="15" customHeight="1" x14ac:dyDescent="0.2">
      <c r="A336" s="15" t="s">
        <v>88</v>
      </c>
      <c r="B336" s="22">
        <v>0</v>
      </c>
      <c r="C336" s="22">
        <v>0</v>
      </c>
      <c r="D336" s="22">
        <v>0</v>
      </c>
      <c r="E336" s="22">
        <v>0</v>
      </c>
      <c r="F336" s="22">
        <v>0</v>
      </c>
      <c r="G336" s="22">
        <v>0</v>
      </c>
      <c r="H336" s="22">
        <v>0</v>
      </c>
      <c r="I336" s="22">
        <v>0</v>
      </c>
      <c r="J336" s="26">
        <v>0</v>
      </c>
      <c r="L336" s="32"/>
      <c r="M336" s="32"/>
      <c r="N336" s="32"/>
      <c r="O336" s="32"/>
      <c r="P336" s="32"/>
      <c r="Q336" s="32"/>
      <c r="R336" s="32"/>
      <c r="S336" s="32"/>
      <c r="T336" s="6"/>
    </row>
    <row r="337" spans="1:20" ht="15" customHeight="1" x14ac:dyDescent="0.2">
      <c r="A337" s="16" t="s">
        <v>48</v>
      </c>
      <c r="B337" s="22">
        <v>39782</v>
      </c>
      <c r="C337" s="22">
        <v>279805</v>
      </c>
      <c r="D337" s="22">
        <v>9368124</v>
      </c>
      <c r="E337" s="22">
        <v>3025604</v>
      </c>
      <c r="F337" s="22">
        <v>3179627</v>
      </c>
      <c r="G337" s="22">
        <v>2449105</v>
      </c>
      <c r="H337" s="22">
        <v>20483</v>
      </c>
      <c r="I337" s="22">
        <v>29636</v>
      </c>
      <c r="J337" s="26">
        <v>0</v>
      </c>
      <c r="L337" s="32"/>
      <c r="M337" s="32"/>
      <c r="N337" s="32"/>
      <c r="O337" s="32"/>
      <c r="P337" s="32"/>
      <c r="Q337" s="32"/>
      <c r="R337" s="32"/>
      <c r="S337" s="32"/>
      <c r="T337" s="6"/>
    </row>
    <row r="338" spans="1:20" ht="15" customHeight="1" x14ac:dyDescent="0.2">
      <c r="A338" s="15" t="s">
        <v>6</v>
      </c>
      <c r="B338" s="22">
        <v>29921</v>
      </c>
      <c r="C338" s="22">
        <v>12171</v>
      </c>
      <c r="D338" s="22">
        <v>86866</v>
      </c>
      <c r="E338" s="22">
        <v>3256</v>
      </c>
      <c r="F338" s="22">
        <v>12617</v>
      </c>
      <c r="G338" s="22">
        <v>18364</v>
      </c>
      <c r="H338" s="22">
        <v>20483</v>
      </c>
      <c r="I338" s="22">
        <v>5108</v>
      </c>
      <c r="J338" s="26">
        <v>0</v>
      </c>
      <c r="L338" s="32"/>
      <c r="M338" s="32"/>
      <c r="N338" s="32"/>
      <c r="O338" s="32"/>
      <c r="P338" s="32"/>
      <c r="Q338" s="32"/>
      <c r="R338" s="32"/>
      <c r="S338" s="32"/>
      <c r="T338" s="6"/>
    </row>
    <row r="339" spans="1:20" ht="15" customHeight="1" x14ac:dyDescent="0.2">
      <c r="A339" s="15" t="s">
        <v>7</v>
      </c>
      <c r="B339" s="22">
        <v>4496</v>
      </c>
      <c r="C339" s="22">
        <v>108626</v>
      </c>
      <c r="D339" s="22">
        <v>5949410</v>
      </c>
      <c r="E339" s="22">
        <v>1493346</v>
      </c>
      <c r="F339" s="22">
        <v>1824747</v>
      </c>
      <c r="G339" s="22">
        <v>2190863</v>
      </c>
      <c r="H339" s="22">
        <v>0</v>
      </c>
      <c r="I339" s="22">
        <v>21705</v>
      </c>
      <c r="J339" s="26">
        <v>0</v>
      </c>
      <c r="L339" s="32"/>
      <c r="M339" s="32"/>
      <c r="N339" s="32"/>
      <c r="O339" s="32"/>
      <c r="P339" s="32"/>
      <c r="Q339" s="32"/>
      <c r="R339" s="32"/>
      <c r="S339" s="32"/>
      <c r="T339" s="6"/>
    </row>
    <row r="340" spans="1:20" ht="15" customHeight="1" x14ac:dyDescent="0.2">
      <c r="A340" s="15" t="s">
        <v>88</v>
      </c>
      <c r="B340" s="22">
        <v>232</v>
      </c>
      <c r="C340" s="22">
        <v>151221</v>
      </c>
      <c r="D340" s="22">
        <v>1262795</v>
      </c>
      <c r="E340" s="22">
        <v>167152</v>
      </c>
      <c r="F340" s="22">
        <v>1065869</v>
      </c>
      <c r="G340" s="22">
        <v>23</v>
      </c>
      <c r="H340" s="22">
        <v>0</v>
      </c>
      <c r="I340" s="22">
        <v>0</v>
      </c>
      <c r="J340" s="26">
        <v>0</v>
      </c>
      <c r="L340" s="32"/>
      <c r="M340" s="32"/>
      <c r="N340" s="32"/>
      <c r="O340" s="32"/>
      <c r="P340" s="32"/>
      <c r="Q340" s="32"/>
      <c r="R340" s="32"/>
      <c r="S340" s="32"/>
      <c r="T340" s="6"/>
    </row>
    <row r="341" spans="1:20" ht="15" customHeight="1" x14ac:dyDescent="0.2">
      <c r="A341" s="16" t="s">
        <v>49</v>
      </c>
      <c r="B341" s="22">
        <v>97607</v>
      </c>
      <c r="C341" s="22">
        <v>959089</v>
      </c>
      <c r="D341" s="22">
        <v>53847976</v>
      </c>
      <c r="E341" s="22">
        <v>25674625</v>
      </c>
      <c r="F341" s="22">
        <v>13444714</v>
      </c>
      <c r="G341" s="22">
        <v>6074072</v>
      </c>
      <c r="H341" s="22">
        <v>24830</v>
      </c>
      <c r="I341" s="22">
        <v>191391</v>
      </c>
      <c r="J341" s="26">
        <v>368794</v>
      </c>
      <c r="L341" s="32"/>
      <c r="M341" s="32"/>
      <c r="N341" s="32"/>
      <c r="O341" s="32"/>
      <c r="P341" s="32"/>
      <c r="Q341" s="32"/>
      <c r="R341" s="32"/>
      <c r="S341" s="32"/>
      <c r="T341" s="6"/>
    </row>
    <row r="342" spans="1:20" ht="15" customHeight="1" x14ac:dyDescent="0.2">
      <c r="A342" s="15" t="s">
        <v>6</v>
      </c>
      <c r="B342" s="22">
        <v>63332</v>
      </c>
      <c r="C342" s="22">
        <v>40349</v>
      </c>
      <c r="D342" s="22">
        <v>561067</v>
      </c>
      <c r="E342" s="22">
        <v>50419</v>
      </c>
      <c r="F342" s="22">
        <v>216502</v>
      </c>
      <c r="G342" s="22">
        <v>186136</v>
      </c>
      <c r="H342" s="22">
        <v>24830</v>
      </c>
      <c r="I342" s="22">
        <v>11107</v>
      </c>
      <c r="J342" s="26">
        <v>0</v>
      </c>
      <c r="L342" s="32"/>
      <c r="M342" s="32"/>
      <c r="N342" s="32"/>
      <c r="O342" s="32"/>
      <c r="P342" s="32"/>
      <c r="Q342" s="32"/>
      <c r="R342" s="32"/>
      <c r="S342" s="32"/>
      <c r="T342" s="6"/>
    </row>
    <row r="343" spans="1:20" ht="15" customHeight="1" x14ac:dyDescent="0.2">
      <c r="A343" s="15" t="s">
        <v>7</v>
      </c>
      <c r="B343" s="22">
        <v>15112</v>
      </c>
      <c r="C343" s="22">
        <v>244678</v>
      </c>
      <c r="D343" s="22">
        <v>29648619</v>
      </c>
      <c r="E343" s="22">
        <v>14254522</v>
      </c>
      <c r="F343" s="22">
        <v>5100461</v>
      </c>
      <c r="G343" s="22">
        <v>5501417</v>
      </c>
      <c r="H343" s="22">
        <v>0</v>
      </c>
      <c r="I343" s="22">
        <v>156748</v>
      </c>
      <c r="J343" s="26">
        <v>325830</v>
      </c>
      <c r="L343" s="32"/>
      <c r="M343" s="32"/>
      <c r="N343" s="32"/>
      <c r="O343" s="32"/>
      <c r="P343" s="32"/>
      <c r="Q343" s="32"/>
      <c r="R343" s="32"/>
      <c r="S343" s="32"/>
      <c r="T343" s="6"/>
    </row>
    <row r="344" spans="1:20" ht="15" customHeight="1" x14ac:dyDescent="0.2">
      <c r="A344" s="15" t="s">
        <v>88</v>
      </c>
      <c r="B344" s="22">
        <v>3824</v>
      </c>
      <c r="C344" s="22">
        <v>652210</v>
      </c>
      <c r="D344" s="22">
        <v>9309267</v>
      </c>
      <c r="E344" s="22">
        <v>5163341</v>
      </c>
      <c r="F344" s="22">
        <v>3897740</v>
      </c>
      <c r="G344" s="22">
        <v>6745</v>
      </c>
      <c r="H344" s="22">
        <v>0</v>
      </c>
      <c r="I344" s="22">
        <v>0</v>
      </c>
      <c r="J344" s="26">
        <v>0</v>
      </c>
      <c r="L344" s="32"/>
      <c r="M344" s="32"/>
      <c r="N344" s="32"/>
      <c r="O344" s="32"/>
      <c r="P344" s="32"/>
      <c r="Q344" s="32"/>
      <c r="R344" s="32"/>
      <c r="S344" s="32"/>
      <c r="T344" s="6"/>
    </row>
    <row r="345" spans="1:20" ht="15" customHeight="1" x14ac:dyDescent="0.2">
      <c r="A345" s="16" t="s">
        <v>50</v>
      </c>
      <c r="B345" s="22">
        <v>201121</v>
      </c>
      <c r="C345" s="22">
        <v>292762</v>
      </c>
      <c r="D345" s="22">
        <v>23245310</v>
      </c>
      <c r="E345" s="22">
        <v>18975011</v>
      </c>
      <c r="F345" s="22">
        <v>1441912</v>
      </c>
      <c r="G345" s="22">
        <v>1438583</v>
      </c>
      <c r="H345" s="22">
        <v>1311</v>
      </c>
      <c r="I345" s="22">
        <v>7161</v>
      </c>
      <c r="J345" s="26">
        <v>857</v>
      </c>
      <c r="L345" s="32"/>
      <c r="M345" s="32"/>
      <c r="N345" s="32"/>
      <c r="O345" s="32"/>
      <c r="P345" s="32"/>
      <c r="Q345" s="32"/>
      <c r="R345" s="32"/>
      <c r="S345" s="32"/>
      <c r="T345" s="6"/>
    </row>
    <row r="346" spans="1:20" ht="15" customHeight="1" x14ac:dyDescent="0.2">
      <c r="A346" s="15" t="s">
        <v>6</v>
      </c>
      <c r="B346" s="22">
        <v>188870</v>
      </c>
      <c r="C346" s="22">
        <v>40052</v>
      </c>
      <c r="D346" s="22">
        <v>279033</v>
      </c>
      <c r="E346" s="22">
        <v>107780</v>
      </c>
      <c r="F346" s="22">
        <v>103389</v>
      </c>
      <c r="G346" s="22">
        <v>7034</v>
      </c>
      <c r="H346" s="22">
        <v>1311</v>
      </c>
      <c r="I346" s="22">
        <v>2824</v>
      </c>
      <c r="J346" s="26">
        <v>0</v>
      </c>
      <c r="L346" s="32"/>
      <c r="M346" s="32"/>
      <c r="N346" s="32"/>
      <c r="O346" s="32"/>
      <c r="P346" s="32"/>
      <c r="Q346" s="32"/>
      <c r="R346" s="32"/>
      <c r="S346" s="32"/>
      <c r="T346" s="6"/>
    </row>
    <row r="347" spans="1:20" ht="15" customHeight="1" x14ac:dyDescent="0.2">
      <c r="A347" s="15" t="s">
        <v>7</v>
      </c>
      <c r="B347" s="22">
        <v>5614</v>
      </c>
      <c r="C347" s="22">
        <v>225766</v>
      </c>
      <c r="D347" s="22">
        <v>9675686</v>
      </c>
      <c r="E347" s="22">
        <v>8421341</v>
      </c>
      <c r="F347" s="22">
        <v>678481</v>
      </c>
      <c r="G347" s="22">
        <v>38425</v>
      </c>
      <c r="H347" s="22">
        <v>0</v>
      </c>
      <c r="I347" s="22">
        <v>3089</v>
      </c>
      <c r="J347" s="26">
        <v>857</v>
      </c>
      <c r="L347" s="32"/>
      <c r="M347" s="32"/>
      <c r="N347" s="32"/>
      <c r="O347" s="32"/>
      <c r="P347" s="32"/>
      <c r="Q347" s="32"/>
      <c r="R347" s="32"/>
      <c r="S347" s="32"/>
      <c r="T347" s="6"/>
    </row>
    <row r="348" spans="1:20" ht="15" customHeight="1" x14ac:dyDescent="0.2">
      <c r="A348" s="15" t="s">
        <v>88</v>
      </c>
      <c r="B348" s="22">
        <v>70</v>
      </c>
      <c r="C348" s="22">
        <v>5354</v>
      </c>
      <c r="D348" s="22">
        <v>109274</v>
      </c>
      <c r="E348" s="22">
        <v>90107</v>
      </c>
      <c r="F348" s="22">
        <v>17771</v>
      </c>
      <c r="G348" s="22">
        <v>2</v>
      </c>
      <c r="H348" s="22">
        <v>0</v>
      </c>
      <c r="I348" s="22">
        <v>0</v>
      </c>
      <c r="J348" s="26">
        <v>0</v>
      </c>
      <c r="L348" s="32"/>
      <c r="M348" s="32"/>
      <c r="N348" s="32"/>
      <c r="O348" s="32"/>
      <c r="P348" s="32"/>
      <c r="Q348" s="32"/>
      <c r="R348" s="32"/>
      <c r="S348" s="32"/>
      <c r="T348" s="6"/>
    </row>
    <row r="349" spans="1:20" ht="15" customHeight="1" x14ac:dyDescent="0.2">
      <c r="A349" s="15" t="s">
        <v>80</v>
      </c>
      <c r="B349" s="22">
        <v>34994</v>
      </c>
      <c r="C349" s="22">
        <v>25556</v>
      </c>
      <c r="D349" s="22">
        <v>2061405</v>
      </c>
      <c r="E349" s="22">
        <v>1734489</v>
      </c>
      <c r="F349" s="22">
        <v>247885</v>
      </c>
      <c r="G349" s="22">
        <v>23684</v>
      </c>
      <c r="H349" s="22">
        <v>8058</v>
      </c>
      <c r="I349" s="22">
        <v>3128</v>
      </c>
      <c r="J349" s="26">
        <v>0</v>
      </c>
      <c r="L349" s="32"/>
      <c r="M349" s="32"/>
      <c r="N349" s="32"/>
      <c r="O349" s="32"/>
      <c r="P349" s="32"/>
      <c r="Q349" s="32"/>
      <c r="R349" s="32"/>
      <c r="S349" s="32"/>
      <c r="T349" s="6"/>
    </row>
    <row r="350" spans="1:20" ht="15" customHeight="1" x14ac:dyDescent="0.2">
      <c r="A350" s="15" t="s">
        <v>6</v>
      </c>
      <c r="B350" s="22">
        <v>32251</v>
      </c>
      <c r="C350" s="22">
        <v>6953</v>
      </c>
      <c r="D350" s="22">
        <v>58520</v>
      </c>
      <c r="E350" s="22">
        <v>9542</v>
      </c>
      <c r="F350" s="22">
        <v>13402</v>
      </c>
      <c r="G350" s="22">
        <v>10098</v>
      </c>
      <c r="H350" s="22">
        <v>8058</v>
      </c>
      <c r="I350" s="22">
        <v>2194</v>
      </c>
      <c r="J350" s="26">
        <v>0</v>
      </c>
      <c r="L350" s="32"/>
      <c r="M350" s="32"/>
      <c r="N350" s="32"/>
      <c r="O350" s="32"/>
      <c r="P350" s="32"/>
      <c r="Q350" s="32"/>
      <c r="R350" s="32"/>
      <c r="S350" s="32"/>
      <c r="T350" s="6"/>
    </row>
    <row r="351" spans="1:20" ht="15" customHeight="1" x14ac:dyDescent="0.2">
      <c r="A351" s="15" t="s">
        <v>7</v>
      </c>
      <c r="B351" s="22">
        <v>609</v>
      </c>
      <c r="C351" s="22">
        <v>16786</v>
      </c>
      <c r="D351" s="22">
        <v>165946</v>
      </c>
      <c r="E351" s="22">
        <v>109643</v>
      </c>
      <c r="F351" s="22">
        <v>37374</v>
      </c>
      <c r="G351" s="22">
        <v>11233</v>
      </c>
      <c r="H351" s="22">
        <v>0</v>
      </c>
      <c r="I351" s="22">
        <v>866</v>
      </c>
      <c r="J351" s="26">
        <v>0</v>
      </c>
      <c r="L351" s="32"/>
      <c r="M351" s="32"/>
      <c r="N351" s="32"/>
      <c r="O351" s="32"/>
      <c r="P351" s="32"/>
      <c r="Q351" s="32"/>
      <c r="R351" s="32"/>
      <c r="S351" s="32"/>
      <c r="T351" s="6"/>
    </row>
    <row r="352" spans="1:20" ht="15" customHeight="1" x14ac:dyDescent="0.2">
      <c r="A352" s="15" t="s">
        <v>88</v>
      </c>
      <c r="B352" s="22">
        <v>12</v>
      </c>
      <c r="C352" s="22">
        <v>13</v>
      </c>
      <c r="D352" s="22">
        <v>129</v>
      </c>
      <c r="E352" s="22">
        <v>43</v>
      </c>
      <c r="F352" s="22">
        <v>86</v>
      </c>
      <c r="G352" s="22">
        <v>0</v>
      </c>
      <c r="H352" s="22">
        <v>0</v>
      </c>
      <c r="I352" s="22">
        <v>0</v>
      </c>
      <c r="J352" s="26">
        <v>0</v>
      </c>
      <c r="L352" s="32"/>
      <c r="M352" s="32"/>
      <c r="N352" s="32"/>
      <c r="O352" s="32"/>
      <c r="P352" s="32"/>
      <c r="Q352" s="32"/>
      <c r="R352" s="32"/>
      <c r="S352" s="32"/>
      <c r="T352" s="6"/>
    </row>
    <row r="353" spans="1:20" ht="15" customHeight="1" x14ac:dyDescent="0.2">
      <c r="A353" s="15" t="s">
        <v>67</v>
      </c>
      <c r="B353" s="22">
        <v>9804</v>
      </c>
      <c r="C353" s="22">
        <v>9224</v>
      </c>
      <c r="D353" s="22">
        <v>319449</v>
      </c>
      <c r="E353" s="22">
        <v>243653</v>
      </c>
      <c r="F353" s="22">
        <v>59403</v>
      </c>
      <c r="G353" s="22">
        <v>2457</v>
      </c>
      <c r="H353" s="22">
        <v>1971</v>
      </c>
      <c r="I353" s="22">
        <v>723</v>
      </c>
      <c r="J353" s="26">
        <v>0</v>
      </c>
      <c r="L353" s="32"/>
      <c r="M353" s="32"/>
      <c r="N353" s="32"/>
      <c r="O353" s="32"/>
      <c r="P353" s="32"/>
      <c r="Q353" s="32"/>
      <c r="R353" s="32"/>
      <c r="S353" s="32"/>
      <c r="T353" s="6"/>
    </row>
    <row r="354" spans="1:20" ht="15" customHeight="1" x14ac:dyDescent="0.2">
      <c r="A354" s="15" t="s">
        <v>6</v>
      </c>
      <c r="B354" s="22">
        <v>7825</v>
      </c>
      <c r="C354" s="22">
        <v>2642</v>
      </c>
      <c r="D354" s="22">
        <v>19603</v>
      </c>
      <c r="E354" s="22">
        <v>6219</v>
      </c>
      <c r="F354" s="22">
        <v>3477</v>
      </c>
      <c r="G354" s="22">
        <v>1937</v>
      </c>
      <c r="H354" s="22">
        <v>1971</v>
      </c>
      <c r="I354" s="22">
        <v>668</v>
      </c>
      <c r="J354" s="26">
        <v>0</v>
      </c>
      <c r="L354" s="32"/>
      <c r="M354" s="32"/>
      <c r="N354" s="32"/>
      <c r="O354" s="32"/>
      <c r="P354" s="32"/>
      <c r="Q354" s="32"/>
      <c r="R354" s="32"/>
      <c r="S354" s="32"/>
      <c r="T354" s="6"/>
    </row>
    <row r="355" spans="1:20" ht="15" customHeight="1" x14ac:dyDescent="0.2">
      <c r="A355" s="15" t="s">
        <v>7</v>
      </c>
      <c r="B355" s="22">
        <v>1170</v>
      </c>
      <c r="C355" s="22">
        <v>6367</v>
      </c>
      <c r="D355" s="22">
        <v>127733</v>
      </c>
      <c r="E355" s="22">
        <v>101437</v>
      </c>
      <c r="F355" s="22">
        <v>21418</v>
      </c>
      <c r="G355" s="22">
        <v>225</v>
      </c>
      <c r="H355" s="22">
        <v>0</v>
      </c>
      <c r="I355" s="22">
        <v>23</v>
      </c>
      <c r="J355" s="26">
        <v>0</v>
      </c>
      <c r="L355" s="32"/>
      <c r="M355" s="32"/>
      <c r="N355" s="32"/>
      <c r="O355" s="32"/>
      <c r="P355" s="32"/>
      <c r="Q355" s="32"/>
      <c r="R355" s="32"/>
      <c r="S355" s="32"/>
      <c r="T355" s="6"/>
    </row>
    <row r="356" spans="1:20" ht="15" customHeight="1" x14ac:dyDescent="0.2">
      <c r="A356" s="15" t="s">
        <v>88</v>
      </c>
      <c r="B356" s="22" t="s">
        <v>101</v>
      </c>
      <c r="C356" s="22" t="s">
        <v>101</v>
      </c>
      <c r="D356" s="22" t="s">
        <v>101</v>
      </c>
      <c r="E356" s="22">
        <v>0</v>
      </c>
      <c r="F356" s="22" t="s">
        <v>101</v>
      </c>
      <c r="G356" s="22">
        <v>0</v>
      </c>
      <c r="H356" s="22">
        <v>0</v>
      </c>
      <c r="I356" s="22">
        <v>0</v>
      </c>
      <c r="J356" s="26">
        <v>0</v>
      </c>
      <c r="L356" s="32"/>
      <c r="M356" s="32"/>
      <c r="N356" s="32"/>
      <c r="O356" s="32"/>
      <c r="P356" s="32"/>
      <c r="Q356" s="32"/>
      <c r="R356" s="32"/>
      <c r="S356" s="32"/>
      <c r="T356" s="6"/>
    </row>
    <row r="357" spans="1:20" ht="15" customHeight="1" x14ac:dyDescent="0.2">
      <c r="A357" s="15" t="s">
        <v>96</v>
      </c>
      <c r="B357" s="22">
        <v>23120</v>
      </c>
      <c r="C357" s="22">
        <v>21646</v>
      </c>
      <c r="D357" s="22">
        <v>236036</v>
      </c>
      <c r="E357" s="22">
        <v>99201</v>
      </c>
      <c r="F357" s="22">
        <v>54324</v>
      </c>
      <c r="G357" s="22">
        <v>32902</v>
      </c>
      <c r="H357" s="22">
        <v>1612</v>
      </c>
      <c r="I357" s="22">
        <v>2629</v>
      </c>
      <c r="J357" s="26">
        <v>0</v>
      </c>
      <c r="L357" s="32"/>
      <c r="M357" s="32"/>
      <c r="N357" s="32"/>
      <c r="O357" s="32"/>
      <c r="P357" s="32"/>
      <c r="Q357" s="32"/>
      <c r="R357" s="32"/>
      <c r="S357" s="32"/>
      <c r="T357" s="6"/>
    </row>
    <row r="358" spans="1:20" ht="15" customHeight="1" x14ac:dyDescent="0.2">
      <c r="A358" s="15" t="s">
        <v>6</v>
      </c>
      <c r="B358" s="22">
        <v>20515</v>
      </c>
      <c r="C358" s="22">
        <v>6682</v>
      </c>
      <c r="D358" s="22">
        <v>53540</v>
      </c>
      <c r="E358" s="22">
        <v>5585</v>
      </c>
      <c r="F358" s="22">
        <v>10032</v>
      </c>
      <c r="G358" s="22">
        <v>8302</v>
      </c>
      <c r="H358" s="22">
        <v>1612</v>
      </c>
      <c r="I358" s="22">
        <v>1748</v>
      </c>
      <c r="J358" s="26">
        <v>0</v>
      </c>
      <c r="L358" s="32"/>
      <c r="M358" s="32"/>
      <c r="N358" s="32"/>
      <c r="O358" s="32"/>
      <c r="P358" s="32"/>
      <c r="Q358" s="32"/>
      <c r="R358" s="32"/>
      <c r="S358" s="32"/>
      <c r="T358" s="6"/>
    </row>
    <row r="359" spans="1:20" ht="15" customHeight="1" x14ac:dyDescent="0.2">
      <c r="A359" s="15" t="s">
        <v>7</v>
      </c>
      <c r="B359" s="22">
        <v>716</v>
      </c>
      <c r="C359" s="22">
        <v>13197</v>
      </c>
      <c r="D359" s="22">
        <v>121076</v>
      </c>
      <c r="E359" s="22">
        <v>44254</v>
      </c>
      <c r="F359" s="22">
        <v>39076</v>
      </c>
      <c r="G359" s="22">
        <v>20443</v>
      </c>
      <c r="H359" s="22">
        <v>0</v>
      </c>
      <c r="I359" s="22">
        <v>415</v>
      </c>
      <c r="J359" s="26">
        <v>0</v>
      </c>
      <c r="L359" s="32"/>
      <c r="M359" s="32"/>
      <c r="N359" s="32"/>
      <c r="O359" s="32"/>
      <c r="P359" s="32"/>
      <c r="Q359" s="32"/>
      <c r="R359" s="32"/>
      <c r="S359" s="32"/>
      <c r="T359" s="6"/>
    </row>
    <row r="360" spans="1:20" ht="15" customHeight="1" x14ac:dyDescent="0.2">
      <c r="A360" s="15" t="s">
        <v>88</v>
      </c>
      <c r="B360" s="22">
        <v>7</v>
      </c>
      <c r="C360" s="22">
        <v>0</v>
      </c>
      <c r="D360" s="22">
        <v>10</v>
      </c>
      <c r="E360" s="22">
        <v>8</v>
      </c>
      <c r="F360" s="22" t="s">
        <v>101</v>
      </c>
      <c r="G360" s="22" t="s">
        <v>101</v>
      </c>
      <c r="H360" s="22">
        <v>0</v>
      </c>
      <c r="I360" s="22">
        <v>0</v>
      </c>
      <c r="J360" s="26">
        <v>0</v>
      </c>
      <c r="L360" s="32"/>
      <c r="M360" s="32"/>
      <c r="N360" s="32"/>
      <c r="O360" s="32"/>
      <c r="P360" s="32"/>
      <c r="Q360" s="32"/>
      <c r="R360" s="32"/>
      <c r="S360" s="32"/>
      <c r="T360" s="6"/>
    </row>
    <row r="361" spans="1:20" ht="15" customHeight="1" x14ac:dyDescent="0.2">
      <c r="A361" s="16" t="s">
        <v>51</v>
      </c>
      <c r="B361" s="22">
        <v>28256</v>
      </c>
      <c r="C361" s="22">
        <v>23801</v>
      </c>
      <c r="D361" s="22">
        <v>3216412</v>
      </c>
      <c r="E361" s="22">
        <v>874321</v>
      </c>
      <c r="F361" s="22">
        <v>1584401</v>
      </c>
      <c r="G361" s="22">
        <v>24897</v>
      </c>
      <c r="H361" s="22">
        <v>185</v>
      </c>
      <c r="I361" s="22">
        <v>3768</v>
      </c>
      <c r="J361" s="26">
        <v>0</v>
      </c>
      <c r="L361" s="32"/>
      <c r="M361" s="32"/>
      <c r="N361" s="32"/>
      <c r="O361" s="32"/>
      <c r="P361" s="32"/>
      <c r="Q361" s="32"/>
      <c r="R361" s="32"/>
      <c r="S361" s="32"/>
      <c r="T361" s="6"/>
    </row>
    <row r="362" spans="1:20" ht="15" customHeight="1" x14ac:dyDescent="0.2">
      <c r="A362" s="15" t="s">
        <v>6</v>
      </c>
      <c r="B362" s="22">
        <v>25142</v>
      </c>
      <c r="C362" s="22">
        <v>8782</v>
      </c>
      <c r="D362" s="22">
        <v>52437</v>
      </c>
      <c r="E362" s="22">
        <v>16094</v>
      </c>
      <c r="F362" s="22">
        <v>19310</v>
      </c>
      <c r="G362" s="22">
        <v>2417</v>
      </c>
      <c r="H362" s="22">
        <v>185</v>
      </c>
      <c r="I362" s="22">
        <v>1807</v>
      </c>
      <c r="J362" s="26">
        <v>0</v>
      </c>
      <c r="L362" s="32"/>
      <c r="M362" s="32"/>
      <c r="N362" s="32"/>
      <c r="O362" s="32"/>
      <c r="P362" s="32"/>
      <c r="Q362" s="32"/>
      <c r="R362" s="32"/>
      <c r="S362" s="32"/>
      <c r="T362" s="6"/>
    </row>
    <row r="363" spans="1:20" ht="15" customHeight="1" x14ac:dyDescent="0.2">
      <c r="A363" s="15" t="s">
        <v>7</v>
      </c>
      <c r="B363" s="22">
        <v>1682</v>
      </c>
      <c r="C363" s="22">
        <v>11923</v>
      </c>
      <c r="D363" s="22">
        <v>302671</v>
      </c>
      <c r="E363" s="22">
        <v>96190</v>
      </c>
      <c r="F363" s="22">
        <v>77564</v>
      </c>
      <c r="G363" s="22">
        <v>2494</v>
      </c>
      <c r="H363" s="22">
        <v>0</v>
      </c>
      <c r="I363" s="22">
        <v>1302</v>
      </c>
      <c r="J363" s="26">
        <v>0</v>
      </c>
      <c r="L363" s="32"/>
      <c r="M363" s="32"/>
      <c r="N363" s="32"/>
      <c r="O363" s="32"/>
      <c r="P363" s="32"/>
      <c r="Q363" s="32"/>
      <c r="R363" s="32"/>
      <c r="S363" s="32"/>
      <c r="T363" s="6"/>
    </row>
    <row r="364" spans="1:20" ht="15" customHeight="1" x14ac:dyDescent="0.2">
      <c r="A364" s="15" t="s">
        <v>88</v>
      </c>
      <c r="B364" s="22">
        <v>26</v>
      </c>
      <c r="C364" s="22">
        <v>674</v>
      </c>
      <c r="D364" s="22">
        <v>9282</v>
      </c>
      <c r="E364" s="22">
        <v>6994</v>
      </c>
      <c r="F364" s="22">
        <v>1790</v>
      </c>
      <c r="G364" s="22">
        <v>151</v>
      </c>
      <c r="H364" s="22">
        <v>0</v>
      </c>
      <c r="I364" s="22">
        <v>0</v>
      </c>
      <c r="J364" s="26">
        <v>0</v>
      </c>
      <c r="L364" s="32"/>
      <c r="M364" s="32"/>
      <c r="N364" s="32"/>
      <c r="O364" s="32"/>
      <c r="P364" s="32"/>
      <c r="Q364" s="32"/>
      <c r="R364" s="32"/>
      <c r="S364" s="32"/>
      <c r="T364" s="6"/>
    </row>
    <row r="365" spans="1:20" ht="15" customHeight="1" x14ac:dyDescent="0.2">
      <c r="A365" s="16" t="s">
        <v>52</v>
      </c>
      <c r="B365" s="22">
        <v>669796</v>
      </c>
      <c r="C365" s="22">
        <v>1452384</v>
      </c>
      <c r="D365" s="22">
        <v>173497716</v>
      </c>
      <c r="E365" s="22">
        <v>51116977</v>
      </c>
      <c r="F365" s="22">
        <v>57374660</v>
      </c>
      <c r="G365" s="22">
        <v>6976156</v>
      </c>
      <c r="H365" s="22">
        <v>147018</v>
      </c>
      <c r="I365" s="22">
        <v>1635094</v>
      </c>
      <c r="J365" s="26">
        <v>19988034</v>
      </c>
      <c r="L365" s="32"/>
      <c r="M365" s="32"/>
      <c r="N365" s="32"/>
      <c r="O365" s="32"/>
      <c r="P365" s="32"/>
      <c r="Q365" s="32"/>
      <c r="R365" s="32"/>
      <c r="S365" s="32"/>
      <c r="T365" s="6"/>
    </row>
    <row r="366" spans="1:20" ht="15" customHeight="1" x14ac:dyDescent="0.2">
      <c r="A366" s="15" t="s">
        <v>6</v>
      </c>
      <c r="B366" s="22">
        <v>502870</v>
      </c>
      <c r="C366" s="22">
        <v>169976</v>
      </c>
      <c r="D366" s="22">
        <v>1822005</v>
      </c>
      <c r="E366" s="22">
        <v>163336</v>
      </c>
      <c r="F366" s="22">
        <v>675159</v>
      </c>
      <c r="G366" s="22">
        <v>278568</v>
      </c>
      <c r="H366" s="22">
        <v>147018</v>
      </c>
      <c r="I366" s="22">
        <v>108398</v>
      </c>
      <c r="J366" s="26">
        <v>0</v>
      </c>
      <c r="L366" s="32"/>
      <c r="M366" s="32"/>
      <c r="N366" s="32"/>
      <c r="O366" s="32"/>
      <c r="P366" s="32"/>
      <c r="Q366" s="32"/>
      <c r="R366" s="32"/>
      <c r="S366" s="32"/>
      <c r="T366" s="6"/>
    </row>
    <row r="367" spans="1:20" ht="15" customHeight="1" x14ac:dyDescent="0.2">
      <c r="A367" s="15" t="s">
        <v>7</v>
      </c>
      <c r="B367" s="22">
        <v>50196</v>
      </c>
      <c r="C367" s="22">
        <v>515631</v>
      </c>
      <c r="D367" s="22">
        <v>138132964</v>
      </c>
      <c r="E367" s="22">
        <v>35457368</v>
      </c>
      <c r="F367" s="22">
        <v>47395253</v>
      </c>
      <c r="G367" s="22">
        <v>5634892</v>
      </c>
      <c r="H367" s="22">
        <v>0</v>
      </c>
      <c r="I367" s="22">
        <v>1367892</v>
      </c>
      <c r="J367" s="26">
        <v>19548881</v>
      </c>
      <c r="L367" s="32"/>
      <c r="M367" s="32"/>
      <c r="N367" s="32"/>
      <c r="O367" s="32"/>
      <c r="P367" s="32"/>
      <c r="Q367" s="32"/>
      <c r="R367" s="32"/>
      <c r="S367" s="32"/>
      <c r="T367" s="6"/>
    </row>
    <row r="368" spans="1:20" ht="15" customHeight="1" x14ac:dyDescent="0.2">
      <c r="A368" s="15" t="s">
        <v>88</v>
      </c>
      <c r="B368" s="22">
        <v>1530</v>
      </c>
      <c r="C368" s="22">
        <v>402250</v>
      </c>
      <c r="D368" s="22">
        <v>8373572</v>
      </c>
      <c r="E368" s="22">
        <v>4904565</v>
      </c>
      <c r="F368" s="22">
        <v>2616631</v>
      </c>
      <c r="G368" s="22">
        <v>14911</v>
      </c>
      <c r="H368" s="22">
        <v>0</v>
      </c>
      <c r="I368" s="22">
        <v>13852</v>
      </c>
      <c r="J368" s="26">
        <v>0</v>
      </c>
      <c r="L368" s="32"/>
      <c r="M368" s="32"/>
      <c r="N368" s="32"/>
      <c r="O368" s="32"/>
      <c r="P368" s="32"/>
      <c r="Q368" s="32"/>
      <c r="R368" s="32"/>
      <c r="S368" s="32"/>
      <c r="T368" s="6"/>
    </row>
    <row r="369" spans="1:29" ht="15" customHeight="1" x14ac:dyDescent="0.2">
      <c r="A369" s="15" t="s">
        <v>68</v>
      </c>
      <c r="B369" s="22">
        <v>19912</v>
      </c>
      <c r="C369" s="22">
        <v>10395</v>
      </c>
      <c r="D369" s="22">
        <v>289852</v>
      </c>
      <c r="E369" s="22">
        <v>240274</v>
      </c>
      <c r="F369" s="22">
        <v>26151</v>
      </c>
      <c r="G369" s="22">
        <v>6601</v>
      </c>
      <c r="H369" s="22">
        <v>1209</v>
      </c>
      <c r="I369" s="22">
        <v>4956</v>
      </c>
      <c r="J369" s="26">
        <v>0</v>
      </c>
      <c r="L369" s="32"/>
      <c r="M369" s="32"/>
      <c r="N369" s="32"/>
      <c r="O369" s="32"/>
      <c r="P369" s="32"/>
      <c r="Q369" s="32"/>
      <c r="R369" s="32"/>
      <c r="S369" s="32"/>
      <c r="T369" s="6"/>
    </row>
    <row r="370" spans="1:29" ht="15" customHeight="1" x14ac:dyDescent="0.2">
      <c r="A370" s="15" t="s">
        <v>6</v>
      </c>
      <c r="B370" s="22">
        <v>15690</v>
      </c>
      <c r="C370" s="22">
        <v>3514</v>
      </c>
      <c r="D370" s="22">
        <v>61918</v>
      </c>
      <c r="E370" s="22">
        <v>47311</v>
      </c>
      <c r="F370" s="22">
        <v>7786</v>
      </c>
      <c r="G370" s="22">
        <v>587</v>
      </c>
      <c r="H370" s="22">
        <v>1209</v>
      </c>
      <c r="I370" s="22">
        <v>670</v>
      </c>
      <c r="J370" s="26">
        <v>0</v>
      </c>
      <c r="L370" s="32"/>
      <c r="M370" s="32"/>
      <c r="N370" s="32"/>
      <c r="O370" s="32"/>
      <c r="P370" s="32"/>
      <c r="Q370" s="32"/>
      <c r="R370" s="32"/>
      <c r="S370" s="32"/>
      <c r="T370" s="6"/>
    </row>
    <row r="371" spans="1:29" ht="15" customHeight="1" x14ac:dyDescent="0.2">
      <c r="A371" s="15" t="s">
        <v>7</v>
      </c>
      <c r="B371" s="22">
        <v>3265</v>
      </c>
      <c r="C371" s="22">
        <v>5514</v>
      </c>
      <c r="D371" s="22">
        <v>101594</v>
      </c>
      <c r="E371" s="22">
        <v>75420</v>
      </c>
      <c r="F371" s="22">
        <v>12701</v>
      </c>
      <c r="G371" s="22">
        <v>4391</v>
      </c>
      <c r="H371" s="22">
        <v>0</v>
      </c>
      <c r="I371" s="22">
        <v>4162</v>
      </c>
      <c r="J371" s="26">
        <v>0</v>
      </c>
      <c r="L371" s="32"/>
      <c r="M371" s="32"/>
      <c r="N371" s="32"/>
      <c r="O371" s="32"/>
      <c r="P371" s="32"/>
      <c r="Q371" s="32"/>
      <c r="R371" s="32"/>
      <c r="S371" s="32"/>
      <c r="T371" s="6"/>
    </row>
    <row r="372" spans="1:29" ht="15" customHeight="1" x14ac:dyDescent="0.2">
      <c r="A372" s="15" t="s">
        <v>88</v>
      </c>
      <c r="B372" s="22">
        <v>172</v>
      </c>
      <c r="C372" s="22">
        <v>942</v>
      </c>
      <c r="D372" s="22">
        <v>25356</v>
      </c>
      <c r="E372" s="22">
        <v>21374</v>
      </c>
      <c r="F372" s="22">
        <v>3187</v>
      </c>
      <c r="G372" s="22">
        <v>0</v>
      </c>
      <c r="H372" s="22">
        <v>0</v>
      </c>
      <c r="I372" s="22">
        <v>0</v>
      </c>
      <c r="J372" s="26">
        <v>0</v>
      </c>
      <c r="L372" s="32"/>
      <c r="M372" s="32"/>
      <c r="N372" s="32"/>
      <c r="O372" s="32"/>
      <c r="P372" s="32"/>
      <c r="Q372" s="32"/>
      <c r="R372" s="32"/>
      <c r="S372" s="32"/>
      <c r="T372" s="6"/>
    </row>
    <row r="373" spans="1:29" ht="15" customHeight="1" x14ac:dyDescent="0.2">
      <c r="A373" s="15" t="s">
        <v>121</v>
      </c>
      <c r="B373" s="22">
        <v>3287</v>
      </c>
      <c r="C373" s="22">
        <v>9532</v>
      </c>
      <c r="D373" s="22">
        <v>144413</v>
      </c>
      <c r="E373" s="22">
        <v>51834</v>
      </c>
      <c r="F373" s="22">
        <v>30345</v>
      </c>
      <c r="G373" s="22">
        <v>36</v>
      </c>
      <c r="H373" s="22">
        <v>0</v>
      </c>
      <c r="I373" s="22">
        <v>122</v>
      </c>
      <c r="J373" s="26">
        <v>0</v>
      </c>
      <c r="L373" s="32"/>
      <c r="M373" s="32"/>
      <c r="N373" s="32"/>
      <c r="O373" s="32"/>
      <c r="P373" s="32"/>
      <c r="Q373" s="32"/>
      <c r="R373" s="32"/>
      <c r="S373" s="32"/>
      <c r="T373" s="6"/>
    </row>
    <row r="374" spans="1:29" ht="15" customHeight="1" x14ac:dyDescent="0.2">
      <c r="A374" s="15" t="s">
        <v>6</v>
      </c>
      <c r="B374" s="22">
        <v>715</v>
      </c>
      <c r="C374" s="22">
        <v>1572</v>
      </c>
      <c r="D374" s="22">
        <v>12413</v>
      </c>
      <c r="E374" s="22">
        <v>31</v>
      </c>
      <c r="F374" s="22">
        <v>8</v>
      </c>
      <c r="G374" s="22">
        <v>9</v>
      </c>
      <c r="H374" s="22">
        <v>0</v>
      </c>
      <c r="I374" s="22">
        <v>56</v>
      </c>
      <c r="J374" s="26">
        <v>0</v>
      </c>
      <c r="L374" s="32"/>
      <c r="M374" s="32"/>
      <c r="N374" s="32"/>
      <c r="O374" s="32"/>
      <c r="P374" s="32"/>
      <c r="Q374" s="32"/>
      <c r="R374" s="32"/>
      <c r="S374" s="32"/>
      <c r="T374" s="6"/>
    </row>
    <row r="375" spans="1:29" ht="15" customHeight="1" x14ac:dyDescent="0.2">
      <c r="A375" s="15" t="s">
        <v>7</v>
      </c>
      <c r="B375" s="22">
        <v>2315</v>
      </c>
      <c r="C375" s="22">
        <v>6105</v>
      </c>
      <c r="D375" s="22">
        <v>110128</v>
      </c>
      <c r="E375" s="22">
        <v>40531</v>
      </c>
      <c r="F375" s="22">
        <v>20064</v>
      </c>
      <c r="G375" s="22">
        <v>27</v>
      </c>
      <c r="H375" s="22">
        <v>0</v>
      </c>
      <c r="I375" s="22">
        <v>0</v>
      </c>
      <c r="J375" s="26">
        <v>0</v>
      </c>
      <c r="L375" s="32"/>
      <c r="M375" s="32"/>
      <c r="N375" s="32"/>
      <c r="O375" s="32"/>
      <c r="P375" s="32"/>
      <c r="Q375" s="32"/>
      <c r="R375" s="32"/>
      <c r="S375" s="32"/>
      <c r="T375" s="6"/>
    </row>
    <row r="376" spans="1:29" ht="15" customHeight="1" x14ac:dyDescent="0.2">
      <c r="A376" s="15" t="s">
        <v>88</v>
      </c>
      <c r="B376" s="22">
        <v>0</v>
      </c>
      <c r="C376" s="22">
        <v>0</v>
      </c>
      <c r="D376" s="22">
        <v>0</v>
      </c>
      <c r="E376" s="22">
        <v>0</v>
      </c>
      <c r="F376" s="22">
        <v>0</v>
      </c>
      <c r="G376" s="22">
        <v>0</v>
      </c>
      <c r="H376" s="22">
        <v>0</v>
      </c>
      <c r="I376" s="22">
        <v>0</v>
      </c>
      <c r="J376" s="26">
        <v>0</v>
      </c>
      <c r="L376" s="32"/>
      <c r="M376" s="32"/>
      <c r="N376" s="32"/>
      <c r="O376" s="32"/>
      <c r="P376" s="32"/>
      <c r="Q376" s="32"/>
      <c r="R376" s="32"/>
      <c r="S376" s="32"/>
      <c r="T376" s="6"/>
    </row>
    <row r="377" spans="1:29" ht="15" customHeight="1" x14ac:dyDescent="0.2">
      <c r="A377" s="16" t="s">
        <v>89</v>
      </c>
      <c r="B377" s="22">
        <v>99343</v>
      </c>
      <c r="C377" s="22">
        <v>13322</v>
      </c>
      <c r="D377" s="22">
        <v>326346</v>
      </c>
      <c r="E377" s="22">
        <v>244214</v>
      </c>
      <c r="F377" s="22">
        <v>41165</v>
      </c>
      <c r="G377" s="22">
        <v>9470</v>
      </c>
      <c r="H377" s="22">
        <v>838</v>
      </c>
      <c r="I377" s="22">
        <v>7962</v>
      </c>
      <c r="J377" s="26">
        <v>0</v>
      </c>
      <c r="L377" s="32"/>
      <c r="M377" s="32"/>
      <c r="N377" s="32"/>
      <c r="O377" s="32"/>
      <c r="P377" s="32"/>
      <c r="Q377" s="32"/>
      <c r="R377" s="32"/>
      <c r="S377" s="32"/>
      <c r="T377" s="6"/>
    </row>
    <row r="378" spans="1:29" ht="15" customHeight="1" x14ac:dyDescent="0.2">
      <c r="A378" s="15" t="s">
        <v>6</v>
      </c>
      <c r="B378" s="22">
        <v>92818</v>
      </c>
      <c r="C378" s="22">
        <v>11115</v>
      </c>
      <c r="D378" s="22">
        <v>247981</v>
      </c>
      <c r="E378" s="22">
        <v>179061</v>
      </c>
      <c r="F378" s="22">
        <v>36998</v>
      </c>
      <c r="G378" s="22">
        <v>7202</v>
      </c>
      <c r="H378" s="22">
        <v>838</v>
      </c>
      <c r="I378" s="22">
        <v>5874</v>
      </c>
      <c r="J378" s="26">
        <v>0</v>
      </c>
      <c r="L378" s="32"/>
      <c r="M378" s="32"/>
      <c r="N378" s="32"/>
      <c r="O378" s="32"/>
      <c r="P378" s="32"/>
      <c r="Q378" s="32"/>
      <c r="R378" s="32"/>
      <c r="S378" s="32"/>
      <c r="T378" s="6"/>
    </row>
    <row r="379" spans="1:29" ht="15" customHeight="1" x14ac:dyDescent="0.2">
      <c r="A379" s="15" t="s">
        <v>7</v>
      </c>
      <c r="B379" s="22">
        <v>3093</v>
      </c>
      <c r="C379" s="22">
        <v>953</v>
      </c>
      <c r="D379" s="22">
        <v>66314</v>
      </c>
      <c r="E379" s="22">
        <v>60673</v>
      </c>
      <c r="F379" s="22">
        <v>3396</v>
      </c>
      <c r="G379" s="22">
        <v>480</v>
      </c>
      <c r="H379" s="22">
        <v>0</v>
      </c>
      <c r="I379" s="22">
        <v>78</v>
      </c>
      <c r="J379" s="26">
        <v>0</v>
      </c>
      <c r="L379" s="32"/>
      <c r="M379" s="32"/>
      <c r="N379" s="32"/>
      <c r="O379" s="32"/>
      <c r="P379" s="32"/>
      <c r="Q379" s="32"/>
      <c r="R379" s="32"/>
      <c r="S379" s="32"/>
      <c r="T379" s="6"/>
    </row>
    <row r="380" spans="1:29" ht="15" customHeight="1" x14ac:dyDescent="0.2">
      <c r="A380" s="15" t="s">
        <v>88</v>
      </c>
      <c r="B380" s="22">
        <v>9</v>
      </c>
      <c r="C380" s="22">
        <v>3</v>
      </c>
      <c r="D380" s="22">
        <v>105</v>
      </c>
      <c r="E380" s="22">
        <v>85</v>
      </c>
      <c r="F380" s="22">
        <v>18</v>
      </c>
      <c r="G380" s="22">
        <v>0</v>
      </c>
      <c r="H380" s="22">
        <v>0</v>
      </c>
      <c r="I380" s="22">
        <v>0</v>
      </c>
      <c r="J380" s="26">
        <v>0</v>
      </c>
      <c r="L380" s="32"/>
      <c r="M380" s="32"/>
      <c r="N380" s="32"/>
      <c r="O380" s="32"/>
      <c r="P380" s="32"/>
      <c r="Q380" s="32"/>
      <c r="R380" s="32"/>
      <c r="S380" s="32"/>
      <c r="T380" s="6"/>
    </row>
    <row r="381" spans="1:29" ht="13.5" customHeight="1" x14ac:dyDescent="0.2">
      <c r="A381" s="16" t="s">
        <v>97</v>
      </c>
      <c r="B381" s="22">
        <v>11724</v>
      </c>
      <c r="C381" s="22">
        <v>3680</v>
      </c>
      <c r="D381" s="22">
        <v>460234</v>
      </c>
      <c r="E381" s="22">
        <v>435154</v>
      </c>
      <c r="F381" s="22">
        <v>489</v>
      </c>
      <c r="G381" s="22">
        <v>7370</v>
      </c>
      <c r="H381" s="22">
        <v>77</v>
      </c>
      <c r="I381" s="22">
        <v>1122</v>
      </c>
      <c r="J381" s="26">
        <v>0</v>
      </c>
      <c r="K381" s="9"/>
      <c r="L381" s="32"/>
      <c r="M381" s="32"/>
      <c r="N381" s="32"/>
      <c r="O381" s="32"/>
      <c r="P381" s="32"/>
      <c r="Q381" s="32"/>
      <c r="R381" s="32"/>
      <c r="S381" s="32"/>
      <c r="T381" s="6"/>
      <c r="U381" s="9"/>
      <c r="V381" s="9"/>
      <c r="W381" s="9"/>
      <c r="X381" s="9"/>
      <c r="Y381" s="9"/>
      <c r="Z381" s="9"/>
      <c r="AA381" s="9"/>
      <c r="AB381" s="9"/>
      <c r="AC381" s="9"/>
    </row>
    <row r="382" spans="1:29" ht="14.25" customHeight="1" x14ac:dyDescent="0.2">
      <c r="A382" s="15" t="s">
        <v>6</v>
      </c>
      <c r="B382" s="22">
        <v>10501</v>
      </c>
      <c r="C382" s="22">
        <v>3218</v>
      </c>
      <c r="D382" s="22">
        <v>18002</v>
      </c>
      <c r="E382" s="22">
        <v>1672</v>
      </c>
      <c r="F382" s="22">
        <v>436</v>
      </c>
      <c r="G382" s="22">
        <v>3811</v>
      </c>
      <c r="H382" s="22">
        <v>77</v>
      </c>
      <c r="I382" s="22">
        <v>505</v>
      </c>
      <c r="J382" s="26">
        <v>0</v>
      </c>
      <c r="K382" s="10"/>
      <c r="L382" s="32"/>
      <c r="M382" s="32"/>
      <c r="N382" s="32"/>
      <c r="O382" s="32"/>
      <c r="P382" s="32"/>
      <c r="Q382" s="32"/>
      <c r="R382" s="32"/>
      <c r="S382" s="32"/>
      <c r="T382" s="6"/>
      <c r="U382" s="10"/>
      <c r="V382" s="10"/>
      <c r="W382" s="10"/>
      <c r="X382" s="10"/>
      <c r="Y382" s="10"/>
      <c r="Z382" s="10"/>
      <c r="AA382" s="10"/>
      <c r="AB382" s="10"/>
      <c r="AC382" s="10"/>
    </row>
    <row r="383" spans="1:29" ht="15" customHeight="1" x14ac:dyDescent="0.2">
      <c r="A383" s="15" t="s">
        <v>7</v>
      </c>
      <c r="B383" s="22">
        <v>138</v>
      </c>
      <c r="C383" s="22">
        <v>135</v>
      </c>
      <c r="D383" s="22">
        <v>2406</v>
      </c>
      <c r="E383" s="22">
        <v>313</v>
      </c>
      <c r="F383" s="22">
        <v>41</v>
      </c>
      <c r="G383" s="22">
        <v>324</v>
      </c>
      <c r="H383" s="22">
        <v>0</v>
      </c>
      <c r="I383" s="22">
        <v>148</v>
      </c>
      <c r="J383" s="26">
        <v>0</v>
      </c>
      <c r="L383" s="32"/>
      <c r="M383" s="32"/>
      <c r="N383" s="32"/>
      <c r="O383" s="32"/>
      <c r="P383" s="32"/>
      <c r="Q383" s="32"/>
      <c r="R383" s="32"/>
      <c r="S383" s="32"/>
      <c r="T383" s="6"/>
    </row>
    <row r="384" spans="1:29" ht="16.5" customHeight="1" x14ac:dyDescent="0.2">
      <c r="A384" s="17" t="s">
        <v>88</v>
      </c>
      <c r="B384" s="24" t="s">
        <v>101</v>
      </c>
      <c r="C384" s="24" t="s">
        <v>101</v>
      </c>
      <c r="D384" s="24" t="s">
        <v>101</v>
      </c>
      <c r="E384" s="24">
        <v>0</v>
      </c>
      <c r="F384" s="24" t="s">
        <v>101</v>
      </c>
      <c r="G384" s="24">
        <v>0</v>
      </c>
      <c r="H384" s="24">
        <v>0</v>
      </c>
      <c r="I384" s="24">
        <v>0</v>
      </c>
      <c r="J384" s="27">
        <v>0</v>
      </c>
      <c r="L384" s="32"/>
      <c r="M384" s="32"/>
      <c r="N384" s="32"/>
      <c r="O384" s="32"/>
      <c r="P384" s="32"/>
      <c r="Q384" s="32"/>
      <c r="R384" s="32"/>
      <c r="S384" s="32"/>
      <c r="T384" s="6"/>
    </row>
    <row r="385" spans="1:20" ht="152.25" customHeight="1" x14ac:dyDescent="0.2">
      <c r="A385" s="18" t="s">
        <v>125</v>
      </c>
      <c r="B385" s="4"/>
      <c r="C385" s="4"/>
      <c r="D385" s="4"/>
      <c r="L385" s="6"/>
      <c r="M385" s="6"/>
      <c r="N385" s="6"/>
      <c r="O385" s="6"/>
      <c r="P385" s="6"/>
      <c r="Q385" s="6"/>
      <c r="R385" s="6"/>
      <c r="S385" s="6"/>
      <c r="T385" s="6"/>
    </row>
    <row r="386" spans="1:20" ht="15" customHeight="1" x14ac:dyDescent="0.2">
      <c r="A386" s="18"/>
      <c r="B386" s="4"/>
      <c r="C386" s="4"/>
      <c r="D386" s="4"/>
    </row>
    <row r="387" spans="1:20" ht="15" customHeight="1" x14ac:dyDescent="0.2">
      <c r="A387" s="4"/>
      <c r="B387" s="4"/>
      <c r="C387" s="4"/>
      <c r="D387" s="4"/>
    </row>
    <row r="388" spans="1:20" ht="15" customHeight="1" x14ac:dyDescent="0.2">
      <c r="A388" s="4"/>
    </row>
  </sheetData>
  <mergeCells count="12">
    <mergeCell ref="I6:I8"/>
    <mergeCell ref="J6:J8"/>
    <mergeCell ref="A1:J4"/>
    <mergeCell ref="A5:A8"/>
    <mergeCell ref="B5:B8"/>
    <mergeCell ref="C5:C8"/>
    <mergeCell ref="D5:D8"/>
    <mergeCell ref="E5:J5"/>
    <mergeCell ref="E6:E8"/>
    <mergeCell ref="F6:F8"/>
    <mergeCell ref="G6:G8"/>
    <mergeCell ref="H6:H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4F212B-8473-478F-820B-B62D152E65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FD2CE92-F77D-4A8C-992C-951536A5B80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AE33C41-E6BC-4CB1-99D6-8512CFFF77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1042s_bulltab_2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</dc:creator>
  <cp:lastModifiedBy>Carol Wang</cp:lastModifiedBy>
  <cp:lastPrinted>2020-08-19T13:23:11Z</cp:lastPrinted>
  <dcterms:created xsi:type="dcterms:W3CDTF">2008-06-20T20:40:07Z</dcterms:created>
  <dcterms:modified xsi:type="dcterms:W3CDTF">2025-08-08T05:18:50Z</dcterms:modified>
</cp:coreProperties>
</file>